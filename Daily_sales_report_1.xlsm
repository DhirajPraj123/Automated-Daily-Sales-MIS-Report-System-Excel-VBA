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d6e3bb621df4b8d/Desktop/VBA_Projects/"/>
    </mc:Choice>
  </mc:AlternateContent>
  <xr:revisionPtr revIDLastSave="2" documentId="8_{17A8D93D-63E0-4FB8-8C47-AC751046C7F1}" xr6:coauthVersionLast="47" xr6:coauthVersionMax="47" xr10:uidLastSave="{4E0499C7-0E71-4BDE-8304-9EF01F5DA2D6}"/>
  <bookViews>
    <workbookView xWindow="-110" yWindow="-110" windowWidth="19420" windowHeight="10300" xr2:uid="{57DAA1CC-8712-4183-9DBD-D7A10CE1D20D}"/>
  </bookViews>
  <sheets>
    <sheet name="SALES_DATA" sheetId="1" r:id="rId1"/>
    <sheet name="MIS_DASHBOARD" sheetId="2" r:id="rId2"/>
    <sheet name="REGION_REPORT" sheetId="3" r:id="rId3"/>
    <sheet name="PRODUCT_REPORT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7" i="1" l="1"/>
  <c r="A4" i="2"/>
  <c r="F4" i="2"/>
  <c r="C4" i="2"/>
  <c r="H11" i="2"/>
  <c r="H12" i="2"/>
  <c r="H13" i="2"/>
  <c r="H15" i="2" s="1"/>
  <c r="I15" i="2" s="1"/>
  <c r="H14" i="2"/>
  <c r="H10" i="2"/>
  <c r="G11" i="2"/>
  <c r="G12" i="2"/>
  <c r="G13" i="2"/>
  <c r="G14" i="2"/>
  <c r="G10" i="2"/>
  <c r="C11" i="2"/>
  <c r="C12" i="2"/>
  <c r="C13" i="2"/>
  <c r="C10" i="2"/>
  <c r="B11" i="2"/>
  <c r="B12" i="2"/>
  <c r="B13" i="2"/>
  <c r="D13" i="2" s="1"/>
  <c r="B10" i="2"/>
  <c r="I12" i="2"/>
  <c r="I13" i="2"/>
  <c r="I14" i="2"/>
  <c r="C27" i="2"/>
  <c r="C28" i="2"/>
  <c r="C29" i="2"/>
  <c r="C26" i="2"/>
  <c r="D26" i="2" s="1"/>
  <c r="B27" i="2"/>
  <c r="B28" i="2"/>
  <c r="B29" i="2"/>
  <c r="B26" i="2"/>
  <c r="D20" i="2"/>
  <c r="D21" i="2"/>
  <c r="D19" i="2"/>
  <c r="B20" i="2"/>
  <c r="B21" i="2"/>
  <c r="B19" i="2"/>
  <c r="C20" i="2"/>
  <c r="C21" i="2"/>
  <c r="C19" i="2"/>
  <c r="B22" i="2"/>
  <c r="D7" i="4"/>
  <c r="H24" i="1"/>
  <c r="H6" i="1"/>
  <c r="H8" i="1"/>
  <c r="H9" i="1"/>
  <c r="H10" i="1"/>
  <c r="J10" i="1" s="1"/>
  <c r="H11" i="1"/>
  <c r="J11" i="1" s="1"/>
  <c r="H12" i="1"/>
  <c r="J12" i="1" s="1"/>
  <c r="H13" i="1"/>
  <c r="J13" i="1" s="1"/>
  <c r="H14" i="1"/>
  <c r="H15" i="1"/>
  <c r="H16" i="1"/>
  <c r="H17" i="1"/>
  <c r="H18" i="1"/>
  <c r="H19" i="1"/>
  <c r="J19" i="1" s="1"/>
  <c r="H20" i="1"/>
  <c r="J20" i="1" s="1"/>
  <c r="H21" i="1"/>
  <c r="J21" i="1" s="1"/>
  <c r="H22" i="1"/>
  <c r="H23" i="1"/>
  <c r="H5" i="1"/>
  <c r="H4" i="1"/>
  <c r="J4" i="1"/>
  <c r="D27" i="2"/>
  <c r="D28" i="2"/>
  <c r="D29" i="2"/>
  <c r="D11" i="2"/>
  <c r="D12" i="2"/>
  <c r="D10" i="2"/>
  <c r="H4" i="2"/>
  <c r="F24" i="1"/>
  <c r="J14" i="1"/>
  <c r="J9" i="1"/>
  <c r="J6" i="1"/>
  <c r="J5" i="1"/>
  <c r="I24" i="1"/>
  <c r="J23" i="1"/>
  <c r="J22" i="1"/>
  <c r="J18" i="1"/>
  <c r="J17" i="1"/>
  <c r="J16" i="1"/>
  <c r="J15" i="1"/>
  <c r="J8" i="1"/>
  <c r="J7" i="1"/>
  <c r="F7" i="4"/>
  <c r="C7" i="4"/>
  <c r="B14" i="2" l="1"/>
  <c r="I11" i="2"/>
  <c r="C22" i="2"/>
  <c r="E20" i="2" s="1"/>
  <c r="D22" i="2"/>
  <c r="G15" i="2"/>
  <c r="J24" i="1"/>
  <c r="I10" i="2"/>
  <c r="C14" i="2"/>
  <c r="D14" i="2" l="1"/>
  <c r="E19" i="2"/>
  <c r="E21" i="2"/>
</calcChain>
</file>

<file path=xl/sharedStrings.xml><?xml version="1.0" encoding="utf-8"?>
<sst xmlns="http://schemas.openxmlformats.org/spreadsheetml/2006/main" count="252" uniqueCount="64">
  <si>
    <t xml:space="preserve">  DAILY SALES MIS — DATA INPUT SHEET</t>
  </si>
  <si>
    <t xml:space="preserve">  Enter data directly below. Run macro 'RunMIS' from Developer tab → Macros to auto-generate all reports.</t>
  </si>
  <si>
    <t>SR</t>
  </si>
  <si>
    <t>DATE</t>
  </si>
  <si>
    <t>SALESPERSON</t>
  </si>
  <si>
    <t>REGION</t>
  </si>
  <si>
    <t>PRODUCT</t>
  </si>
  <si>
    <t>QTY</t>
  </si>
  <si>
    <t>UNIT PRICE</t>
  </si>
  <si>
    <t>TOTAL SALES</t>
  </si>
  <si>
    <t>TARGET</t>
  </si>
  <si>
    <t>ACHIEVE %</t>
  </si>
  <si>
    <t>REMARKS</t>
  </si>
  <si>
    <t>01/05/2026</t>
  </si>
  <si>
    <t>Rajesh Kumar</t>
  </si>
  <si>
    <t>North</t>
  </si>
  <si>
    <t>Laptop Pro X1</t>
  </si>
  <si>
    <t>Bulk order</t>
  </si>
  <si>
    <t>Priya Sharma</t>
  </si>
  <si>
    <t>South</t>
  </si>
  <si>
    <t>Office Chair Pro</t>
  </si>
  <si>
    <t>Amit Singh</t>
  </si>
  <si>
    <t>East</t>
  </si>
  <si>
    <t>Wireless Mouse</t>
  </si>
  <si>
    <t>Repeat customer</t>
  </si>
  <si>
    <t>Sunita Rao</t>
  </si>
  <si>
    <t>West</t>
  </si>
  <si>
    <t>Deepak Verma</t>
  </si>
  <si>
    <t>02/05/2026</t>
  </si>
  <si>
    <t>Corporate deal</t>
  </si>
  <si>
    <t>New account</t>
  </si>
  <si>
    <t>Online order</t>
  </si>
  <si>
    <t>Govt tender</t>
  </si>
  <si>
    <t>03/05/2026</t>
  </si>
  <si>
    <t>Walk-in</t>
  </si>
  <si>
    <t>04/05/2026</t>
  </si>
  <si>
    <t>Year deal</t>
  </si>
  <si>
    <t>Referral</t>
  </si>
  <si>
    <t>GRAND TOTAL</t>
  </si>
  <si>
    <t>—</t>
  </si>
  <si>
    <t>DAILY SALES MIS DASHBOARD</t>
  </si>
  <si>
    <t>Auto-generated by VBA  |  Period: May 2026  |  Updated: 04 May 2026</t>
  </si>
  <si>
    <t>REGION-WISE PERFORMANCE</t>
  </si>
  <si>
    <t>SALESPERSON PERFORMANCE</t>
  </si>
  <si>
    <t>SALES</t>
  </si>
  <si>
    <t>ORDERS</t>
  </si>
  <si>
    <t>AVG/ORDER</t>
  </si>
  <si>
    <t>TOTAL</t>
  </si>
  <si>
    <t>PRODUCT-WISE ANALYSIS</t>
  </si>
  <si>
    <t>TOTAL QTY</t>
  </si>
  <si>
    <t>% OF TOTAL SALES</t>
  </si>
  <si>
    <t>100.0%</t>
  </si>
  <si>
    <t>DATE-WISE SALES TREND</t>
  </si>
  <si>
    <t xml:space="preserve">  ▶  RUN MIS AUTOMATION  (Assign macro: RunMIS)</t>
  </si>
  <si>
    <t xml:space="preserve">  ▶  CLEAR ALL REPORTS  (Assign macro: ClearReports)</t>
  </si>
  <si>
    <t>REGION-WISE SALES REPORT — Auto-Generated by VBA</t>
  </si>
  <si>
    <t>Period: May 2026  |  Generated: 04 May 2026  |  Run RunMIS macro to refresh</t>
  </si>
  <si>
    <t>STATUS</t>
  </si>
  <si>
    <t>✘ MISS</t>
  </si>
  <si>
    <t>✔ HIT</t>
  </si>
  <si>
    <t>PRODUCT-WISE SALES REPORT — Auto-Generated by VBA</t>
  </si>
  <si>
    <t>Period: May 2026  |  Generated: 04 May 2026</t>
  </si>
  <si>
    <t>AVG PRICE</t>
  </si>
  <si>
    <t>REVENUE SHARE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</si>
</sst>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</font>
    <font>
      <i/>
      <sz val="10"/>
      <color rgb="FF1A3A5C"/>
      <name val="Calibri"/>
    </font>
    <font>
      <b/>
      <sz val="11"/>
      <color rgb="FFFFFFFF"/>
      <name val="Calibri"/>
    </font>
    <font>
      <sz val="10"/>
      <color rgb="FF2D2D2D"/>
      <name val="Calibri"/>
    </font>
    <font>
      <b/>
      <sz val="10"/>
      <color rgb="FFFFFFFF"/>
      <name val="Calibri"/>
    </font>
    <font>
      <b/>
      <sz val="22"/>
      <color rgb="FFFFFFFF"/>
      <name val="Calibri"/>
    </font>
    <font>
      <b/>
      <sz val="10"/>
      <color rgb="FF2D2D2D"/>
      <name val="Calibri"/>
    </font>
    <font>
      <b/>
      <sz val="10"/>
      <color rgb="FF2563A8"/>
      <name val="Calibri"/>
    </font>
    <font>
      <b/>
      <sz val="10"/>
      <color rgb="FF1E6B3C"/>
      <name val="Calibri"/>
    </font>
    <font>
      <b/>
      <sz val="10"/>
      <color rgb="FFB85C00"/>
      <name val="Calibri"/>
    </font>
    <font>
      <b/>
      <sz val="12"/>
      <color rgb="FFFFFFFF"/>
      <name val="Calibri"/>
    </font>
    <font>
      <b/>
      <sz val="16"/>
      <color rgb="FFFFFFFF"/>
      <name val="Calibri"/>
    </font>
    <font>
      <i/>
      <sz val="10"/>
      <color rgb="FF1E6B3C"/>
      <name val="Calibri"/>
    </font>
    <font>
      <b/>
      <sz val="10"/>
      <color rgb="FF8B1A1A"/>
      <name val="Calibri"/>
      <family val="2"/>
    </font>
    <font>
      <b/>
      <sz val="10"/>
      <color rgb="FF1E6B3C"/>
      <name val="Calibri"/>
      <family val="2"/>
    </font>
    <font>
      <b/>
      <sz val="10"/>
      <color rgb="FF2D2D2D"/>
      <name val="Calibri"/>
      <family val="2"/>
    </font>
    <font>
      <vertAlign val="superscript"/>
      <sz val="24"/>
      <color indexed="1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1A3A5C"/>
      </patternFill>
    </fill>
    <fill>
      <patternFill patternType="solid">
        <fgColor rgb="FFD6E8FA"/>
      </patternFill>
    </fill>
    <fill>
      <patternFill patternType="solid">
        <fgColor rgb="FF1E6B3C"/>
      </patternFill>
    </fill>
    <fill>
      <patternFill patternType="solid">
        <fgColor rgb="FFFFFFFF"/>
      </patternFill>
    </fill>
    <fill>
      <patternFill patternType="solid">
        <fgColor rgb="FFF4F4F4"/>
      </patternFill>
    </fill>
    <fill>
      <patternFill patternType="solid">
        <fgColor rgb="FF2563A8"/>
      </patternFill>
    </fill>
    <fill>
      <patternFill patternType="solid">
        <fgColor rgb="FFB85C00"/>
      </patternFill>
    </fill>
    <fill>
      <patternFill patternType="solid">
        <fgColor rgb="FFD4EDDA"/>
      </patternFill>
    </fill>
    <fill>
      <patternFill patternType="solid">
        <fgColor rgb="FFFFF0D6"/>
      </patternFill>
    </fill>
    <fill>
      <patternFill patternType="solid">
        <fgColor rgb="FF8B1A1A"/>
      </patternFill>
    </fill>
    <fill>
      <patternFill patternType="solid">
        <fgColor rgb="FFFDDEDE"/>
        <bgColor indexed="64"/>
      </patternFill>
    </fill>
    <fill>
      <patternFill patternType="solid">
        <fgColor rgb="FFF4F4F4"/>
        <bgColor indexed="64"/>
      </patternFill>
    </fill>
    <fill>
      <patternFill patternType="solid">
        <fgColor rgb="FFD4EDDA"/>
        <bgColor indexed="64"/>
      </patternFill>
    </fill>
    <fill>
      <patternFill patternType="solid">
        <fgColor rgb="FFFFF3B9"/>
        <bgColor indexed="64"/>
      </patternFill>
    </fill>
  </fills>
  <borders count="6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medium">
        <color rgb="FF1A3A5C"/>
      </left>
      <right style="medium">
        <color rgb="FF1A3A5C"/>
      </right>
      <top style="medium">
        <color rgb="FF1A3A5C"/>
      </top>
      <bottom style="medium">
        <color rgb="FF1A3A5C"/>
      </bottom>
      <diagonal/>
    </border>
    <border>
      <left style="medium">
        <color rgb="FF2563A8"/>
      </left>
      <right style="medium">
        <color rgb="FF2563A8"/>
      </right>
      <top style="medium">
        <color rgb="FF2563A8"/>
      </top>
      <bottom style="medium">
        <color rgb="FF2563A8"/>
      </bottom>
      <diagonal/>
    </border>
    <border>
      <left style="medium">
        <color rgb="FFB85C00"/>
      </left>
      <right style="medium">
        <color rgb="FFB85C00"/>
      </right>
      <top style="medium">
        <color rgb="FFB85C00"/>
      </top>
      <bottom style="medium">
        <color rgb="FFB85C00"/>
      </bottom>
      <diagonal/>
    </border>
    <border>
      <left style="medium">
        <color rgb="FF1E6B3C"/>
      </left>
      <right style="medium">
        <color rgb="FF1E6B3C"/>
      </right>
      <top style="medium">
        <color rgb="FF1E6B3C"/>
      </top>
      <bottom style="medium">
        <color rgb="FF1E6B3C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2" fillId="2" borderId="0" xfId="0" applyFont="1" applyFill="1" applyAlignment="1">
      <alignment horizontal="left" vertical="center"/>
    </xf>
    <xf numFmtId="0" fontId="0" fillId="0" borderId="0" xfId="0"/>
    <xf numFmtId="0" fontId="3" fillId="3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14" fontId="5" fillId="5" borderId="1" xfId="0" applyNumberFormat="1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left" vertical="center"/>
    </xf>
    <xf numFmtId="3" fontId="5" fillId="5" borderId="1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right" vertical="center"/>
    </xf>
    <xf numFmtId="164" fontId="5" fillId="5" borderId="1" xfId="0" applyNumberFormat="1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14" fontId="5" fillId="6" borderId="1" xfId="0" applyNumberFormat="1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left" vertical="center"/>
    </xf>
    <xf numFmtId="3" fontId="5" fillId="6" borderId="1" xfId="0" applyNumberFormat="1" applyFont="1" applyFill="1" applyBorder="1" applyAlignment="1">
      <alignment horizontal="center" vertical="center"/>
    </xf>
    <xf numFmtId="3" fontId="5" fillId="6" borderId="1" xfId="0" applyNumberFormat="1" applyFont="1" applyFill="1" applyBorder="1" applyAlignment="1">
      <alignment horizontal="right" vertical="center"/>
    </xf>
    <xf numFmtId="164" fontId="5" fillId="6" borderId="1" xfId="0" applyNumberFormat="1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3" fontId="6" fillId="2" borderId="2" xfId="0" applyNumberFormat="1" applyFont="1" applyFill="1" applyBorder="1" applyAlignment="1">
      <alignment horizontal="right" vertical="center"/>
    </xf>
    <xf numFmtId="0" fontId="6" fillId="2" borderId="2" xfId="0" applyFont="1" applyFill="1" applyBorder="1" applyAlignment="1">
      <alignment horizontal="center" vertical="center"/>
    </xf>
    <xf numFmtId="164" fontId="6" fillId="2" borderId="2" xfId="0" applyNumberFormat="1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3" fontId="7" fillId="7" borderId="3" xfId="0" applyNumberFormat="1" applyFont="1" applyFill="1" applyBorder="1" applyAlignment="1">
      <alignment horizontal="center" vertical="center"/>
    </xf>
    <xf numFmtId="164" fontId="7" fillId="8" borderId="4" xfId="0" applyNumberFormat="1" applyFont="1" applyFill="1" applyBorder="1" applyAlignment="1">
      <alignment horizontal="center" vertical="center"/>
    </xf>
    <xf numFmtId="3" fontId="7" fillId="4" borderId="5" xfId="0" applyNumberFormat="1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3" fontId="6" fillId="2" borderId="1" xfId="0" applyNumberFormat="1" applyFont="1" applyFill="1" applyBorder="1" applyAlignment="1">
      <alignment horizontal="right" vertical="center"/>
    </xf>
    <xf numFmtId="164" fontId="6" fillId="2" borderId="1" xfId="0" applyNumberFormat="1" applyFont="1" applyFill="1" applyBorder="1" applyAlignment="1">
      <alignment horizontal="center" vertical="center"/>
    </xf>
    <xf numFmtId="3" fontId="6" fillId="2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left" vertical="center"/>
    </xf>
    <xf numFmtId="3" fontId="5" fillId="3" borderId="1" xfId="0" applyNumberFormat="1" applyFont="1" applyFill="1" applyBorder="1" applyAlignment="1">
      <alignment horizontal="right" vertical="center"/>
    </xf>
    <xf numFmtId="3" fontId="5" fillId="3" borderId="1" xfId="0" applyNumberFormat="1" applyFont="1" applyFill="1" applyBorder="1" applyAlignment="1">
      <alignment horizontal="center" vertical="center"/>
    </xf>
    <xf numFmtId="164" fontId="5" fillId="3" borderId="1" xfId="0" applyNumberFormat="1" applyFont="1" applyFill="1" applyBorder="1" applyAlignment="1">
      <alignment horizontal="center" vertical="center"/>
    </xf>
    <xf numFmtId="0" fontId="10" fillId="9" borderId="1" xfId="0" applyFont="1" applyFill="1" applyBorder="1" applyAlignment="1">
      <alignment horizontal="left" vertical="center"/>
    </xf>
    <xf numFmtId="3" fontId="5" fillId="9" borderId="1" xfId="0" applyNumberFormat="1" applyFont="1" applyFill="1" applyBorder="1" applyAlignment="1">
      <alignment horizontal="right" vertical="center"/>
    </xf>
    <xf numFmtId="3" fontId="5" fillId="9" borderId="1" xfId="0" applyNumberFormat="1" applyFont="1" applyFill="1" applyBorder="1" applyAlignment="1">
      <alignment horizontal="center" vertical="center"/>
    </xf>
    <xf numFmtId="164" fontId="5" fillId="9" borderId="1" xfId="0" applyNumberFormat="1" applyFont="1" applyFill="1" applyBorder="1" applyAlignment="1">
      <alignment horizontal="center" vertical="center"/>
    </xf>
    <xf numFmtId="0" fontId="11" fillId="10" borderId="1" xfId="0" applyFont="1" applyFill="1" applyBorder="1" applyAlignment="1">
      <alignment horizontal="left" vertical="center"/>
    </xf>
    <xf numFmtId="3" fontId="5" fillId="10" borderId="1" xfId="0" applyNumberFormat="1" applyFont="1" applyFill="1" applyBorder="1" applyAlignment="1">
      <alignment horizontal="right" vertical="center"/>
    </xf>
    <xf numFmtId="3" fontId="5" fillId="10" borderId="1" xfId="0" applyNumberFormat="1" applyFont="1" applyFill="1" applyBorder="1" applyAlignment="1">
      <alignment horizontal="center" vertical="center"/>
    </xf>
    <xf numFmtId="164" fontId="5" fillId="10" borderId="1" xfId="0" applyNumberFormat="1" applyFont="1" applyFill="1" applyBorder="1" applyAlignment="1">
      <alignment horizontal="center" vertical="center"/>
    </xf>
    <xf numFmtId="0" fontId="12" fillId="2" borderId="2" xfId="0" applyFont="1" applyFill="1" applyBorder="1" applyAlignment="1">
      <alignment horizontal="left" vertical="center"/>
    </xf>
    <xf numFmtId="0" fontId="12" fillId="11" borderId="2" xfId="0" applyFont="1" applyFill="1" applyBorder="1" applyAlignment="1">
      <alignment horizontal="left" vertical="center"/>
    </xf>
    <xf numFmtId="0" fontId="13" fillId="2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4" fillId="9" borderId="0" xfId="0" applyFont="1" applyFill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10" fillId="9" borderId="1" xfId="0" applyNumberFormat="1" applyFont="1" applyFill="1" applyBorder="1" applyAlignment="1">
      <alignment horizontal="center" vertical="center"/>
    </xf>
    <xf numFmtId="164" fontId="11" fillId="10" borderId="1" xfId="0" applyNumberFormat="1" applyFont="1" applyFill="1" applyBorder="1" applyAlignment="1">
      <alignment horizontal="center" vertical="center"/>
    </xf>
    <xf numFmtId="3" fontId="6" fillId="4" borderId="1" xfId="0" applyNumberFormat="1" applyFont="1" applyFill="1" applyBorder="1" applyAlignment="1">
      <alignment horizontal="right" vertical="center"/>
    </xf>
    <xf numFmtId="3" fontId="6" fillId="4" borderId="1" xfId="0" applyNumberFormat="1" applyFont="1" applyFill="1" applyBorder="1" applyAlignment="1">
      <alignment horizontal="center" vertical="center"/>
    </xf>
    <xf numFmtId="164" fontId="6" fillId="4" borderId="1" xfId="0" applyNumberFormat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left" vertical="center"/>
    </xf>
    <xf numFmtId="3" fontId="5" fillId="0" borderId="1" xfId="0" applyNumberFormat="1" applyFont="1" applyFill="1" applyBorder="1" applyAlignment="1">
      <alignment horizontal="center" vertical="center"/>
    </xf>
    <xf numFmtId="3" fontId="5" fillId="0" borderId="1" xfId="0" applyNumberFormat="1" applyFont="1" applyFill="1" applyBorder="1" applyAlignment="1">
      <alignment horizontal="right" vertical="center"/>
    </xf>
    <xf numFmtId="0" fontId="0" fillId="0" borderId="0" xfId="0" applyFill="1"/>
    <xf numFmtId="0" fontId="5" fillId="13" borderId="1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left" vertical="center"/>
    </xf>
    <xf numFmtId="3" fontId="5" fillId="13" borderId="1" xfId="0" applyNumberFormat="1" applyFont="1" applyFill="1" applyBorder="1" applyAlignment="1">
      <alignment horizontal="center" vertical="center"/>
    </xf>
    <xf numFmtId="3" fontId="5" fillId="13" borderId="1" xfId="0" applyNumberFormat="1" applyFont="1" applyFill="1" applyBorder="1" applyAlignment="1">
      <alignment horizontal="right" vertical="center"/>
    </xf>
    <xf numFmtId="0" fontId="8" fillId="0" borderId="1" xfId="0" applyFont="1" applyFill="1" applyBorder="1" applyAlignment="1">
      <alignment horizontal="center" vertical="center"/>
    </xf>
    <xf numFmtId="164" fontId="5" fillId="0" borderId="1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3" fontId="6" fillId="0" borderId="1" xfId="0" applyNumberFormat="1" applyFont="1" applyFill="1" applyBorder="1" applyAlignment="1">
      <alignment horizontal="right" vertical="center"/>
    </xf>
    <xf numFmtId="164" fontId="6" fillId="0" borderId="1" xfId="0" applyNumberFormat="1" applyFont="1" applyFill="1" applyBorder="1" applyAlignment="1">
      <alignment horizontal="center" vertical="center"/>
    </xf>
    <xf numFmtId="0" fontId="15" fillId="12" borderId="1" xfId="0" applyFont="1" applyFill="1" applyBorder="1" applyAlignment="1">
      <alignment horizontal="center" vertical="center"/>
    </xf>
    <xf numFmtId="0" fontId="16" fillId="14" borderId="1" xfId="0" applyFont="1" applyFill="1" applyBorder="1" applyAlignment="1">
      <alignment horizontal="center" vertical="center"/>
    </xf>
    <xf numFmtId="3" fontId="17" fillId="15" borderId="1" xfId="0" applyNumberFormat="1" applyFont="1" applyFill="1" applyBorder="1" applyAlignment="1">
      <alignment horizontal="right" vertical="center"/>
    </xf>
    <xf numFmtId="3" fontId="17" fillId="15" borderId="1" xfId="0" applyNumberFormat="1" applyFont="1" applyFill="1" applyBorder="1" applyAlignment="1">
      <alignment horizontal="center" vertical="center"/>
    </xf>
    <xf numFmtId="0" fontId="1" fillId="15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241300</xdr:colOff>
          <xdr:row>0</xdr:row>
          <xdr:rowOff>177800</xdr:rowOff>
        </xdr:from>
        <xdr:to>
          <xdr:col>16</xdr:col>
          <xdr:colOff>152400</xdr:colOff>
          <xdr:row>3</xdr:row>
          <xdr:rowOff>44450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en-IN" sz="2400" b="0" i="0" u="none" strike="noStrike" baseline="3000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Click this button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4B86C-47E4-4C89-8728-75CD99DB67DA}">
  <sheetPr codeName="Sheet1"/>
  <dimension ref="A1:K24"/>
  <sheetViews>
    <sheetView tabSelected="1" workbookViewId="0">
      <selection activeCell="O6" sqref="O6"/>
    </sheetView>
  </sheetViews>
  <sheetFormatPr defaultRowHeight="14.5" x14ac:dyDescent="0.35"/>
  <cols>
    <col min="1" max="1" width="2.81640625" bestFit="1" customWidth="1"/>
    <col min="2" max="2" width="9.54296875" bestFit="1" customWidth="1"/>
    <col min="3" max="3" width="12.36328125" bestFit="1" customWidth="1"/>
    <col min="4" max="4" width="7.36328125" bestFit="1" customWidth="1"/>
    <col min="5" max="5" width="13" bestFit="1" customWidth="1"/>
    <col min="6" max="6" width="4.90625" bestFit="1" customWidth="1"/>
    <col min="7" max="7" width="10.1796875" bestFit="1" customWidth="1"/>
    <col min="8" max="8" width="11.453125" bestFit="1" customWidth="1"/>
    <col min="9" max="9" width="8.08984375" bestFit="1" customWidth="1"/>
    <col min="10" max="10" width="10" bestFit="1" customWidth="1"/>
    <col min="11" max="11" width="13.81640625" bestFit="1" customWidth="1"/>
  </cols>
  <sheetData>
    <row r="1" spans="1:11" ht="23.5" x14ac:dyDescent="0.3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</row>
    <row r="2" spans="1:11" x14ac:dyDescent="0.35">
      <c r="A2" s="3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</row>
    <row r="3" spans="1:11" x14ac:dyDescent="0.35">
      <c r="A3" s="4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5" t="s">
        <v>9</v>
      </c>
      <c r="I3" s="5" t="s">
        <v>10</v>
      </c>
      <c r="J3" s="5" t="s">
        <v>11</v>
      </c>
      <c r="K3" s="4" t="s">
        <v>12</v>
      </c>
    </row>
    <row r="4" spans="1:11" x14ac:dyDescent="0.35">
      <c r="A4" s="6">
        <v>1</v>
      </c>
      <c r="B4" s="7" t="s">
        <v>13</v>
      </c>
      <c r="C4" s="8" t="s">
        <v>14</v>
      </c>
      <c r="D4" s="6" t="s">
        <v>15</v>
      </c>
      <c r="E4" s="8" t="s">
        <v>16</v>
      </c>
      <c r="F4" s="9">
        <v>15</v>
      </c>
      <c r="G4" s="10">
        <v>45000</v>
      </c>
      <c r="H4" s="10">
        <f>F4*G4</f>
        <v>675000</v>
      </c>
      <c r="I4" s="10">
        <v>700000</v>
      </c>
      <c r="J4" s="11">
        <f>IF(I4=0,0,H4/I4)</f>
        <v>0.9642857142857143</v>
      </c>
      <c r="K4" s="8" t="s">
        <v>17</v>
      </c>
    </row>
    <row r="5" spans="1:11" x14ac:dyDescent="0.35">
      <c r="A5" s="12">
        <v>2</v>
      </c>
      <c r="B5" s="13" t="s">
        <v>13</v>
      </c>
      <c r="C5" s="14" t="s">
        <v>18</v>
      </c>
      <c r="D5" s="12" t="s">
        <v>19</v>
      </c>
      <c r="E5" s="14" t="s">
        <v>20</v>
      </c>
      <c r="F5" s="15">
        <v>30</v>
      </c>
      <c r="G5" s="16">
        <v>8500</v>
      </c>
      <c r="H5" s="16">
        <f>F5*G5</f>
        <v>255000</v>
      </c>
      <c r="I5" s="16">
        <v>300000</v>
      </c>
      <c r="J5" s="17">
        <f t="shared" ref="J4:J24" si="0">IF(I5=0,0,H5/I5)</f>
        <v>0.85</v>
      </c>
      <c r="K5" s="14"/>
    </row>
    <row r="6" spans="1:11" x14ac:dyDescent="0.35">
      <c r="A6" s="6">
        <v>3</v>
      </c>
      <c r="B6" s="7" t="s">
        <v>13</v>
      </c>
      <c r="C6" s="8" t="s">
        <v>21</v>
      </c>
      <c r="D6" s="6" t="s">
        <v>22</v>
      </c>
      <c r="E6" s="8" t="s">
        <v>23</v>
      </c>
      <c r="F6" s="9">
        <v>120</v>
      </c>
      <c r="G6" s="10">
        <v>1200</v>
      </c>
      <c r="H6" s="16">
        <f t="shared" ref="H6:H23" si="1">F6*G6</f>
        <v>144000</v>
      </c>
      <c r="I6" s="10">
        <v>180000</v>
      </c>
      <c r="J6" s="11">
        <f t="shared" si="0"/>
        <v>0.8</v>
      </c>
      <c r="K6" s="8" t="s">
        <v>24</v>
      </c>
    </row>
    <row r="7" spans="1:11" x14ac:dyDescent="0.35">
      <c r="A7" s="12">
        <v>4</v>
      </c>
      <c r="B7" s="13" t="s">
        <v>13</v>
      </c>
      <c r="C7" s="14" t="s">
        <v>25</v>
      </c>
      <c r="D7" s="12" t="s">
        <v>26</v>
      </c>
      <c r="E7" s="14" t="s">
        <v>16</v>
      </c>
      <c r="F7" s="15">
        <v>8</v>
      </c>
      <c r="G7" s="16">
        <v>45000</v>
      </c>
      <c r="H7" s="16">
        <f>F7*G7</f>
        <v>360000</v>
      </c>
      <c r="I7" s="16">
        <v>400000</v>
      </c>
      <c r="J7" s="17">
        <f t="shared" si="0"/>
        <v>0.9</v>
      </c>
      <c r="K7" s="14"/>
    </row>
    <row r="8" spans="1:11" x14ac:dyDescent="0.35">
      <c r="A8" s="6">
        <v>5</v>
      </c>
      <c r="B8" s="7" t="s">
        <v>13</v>
      </c>
      <c r="C8" s="8" t="s">
        <v>27</v>
      </c>
      <c r="D8" s="6" t="s">
        <v>19</v>
      </c>
      <c r="E8" s="8" t="s">
        <v>23</v>
      </c>
      <c r="F8" s="9">
        <v>80</v>
      </c>
      <c r="G8" s="10">
        <v>1200</v>
      </c>
      <c r="H8" s="16">
        <f t="shared" si="1"/>
        <v>96000</v>
      </c>
      <c r="I8" s="10">
        <v>120000</v>
      </c>
      <c r="J8" s="11">
        <f t="shared" si="0"/>
        <v>0.8</v>
      </c>
      <c r="K8" s="8"/>
    </row>
    <row r="9" spans="1:11" x14ac:dyDescent="0.35">
      <c r="A9" s="12">
        <v>6</v>
      </c>
      <c r="B9" s="13" t="s">
        <v>28</v>
      </c>
      <c r="C9" s="14" t="s">
        <v>14</v>
      </c>
      <c r="D9" s="12" t="s">
        <v>15</v>
      </c>
      <c r="E9" s="14" t="s">
        <v>20</v>
      </c>
      <c r="F9" s="15">
        <v>50</v>
      </c>
      <c r="G9" s="16">
        <v>8500</v>
      </c>
      <c r="H9" s="16">
        <f t="shared" si="1"/>
        <v>425000</v>
      </c>
      <c r="I9" s="16">
        <v>500000</v>
      </c>
      <c r="J9" s="17">
        <f t="shared" si="0"/>
        <v>0.85</v>
      </c>
      <c r="K9" s="14" t="s">
        <v>29</v>
      </c>
    </row>
    <row r="10" spans="1:11" x14ac:dyDescent="0.35">
      <c r="A10" s="6">
        <v>7</v>
      </c>
      <c r="B10" s="7" t="s">
        <v>28</v>
      </c>
      <c r="C10" s="8" t="s">
        <v>18</v>
      </c>
      <c r="D10" s="6" t="s">
        <v>22</v>
      </c>
      <c r="E10" s="8" t="s">
        <v>16</v>
      </c>
      <c r="F10" s="9">
        <v>12</v>
      </c>
      <c r="G10" s="10">
        <v>45000</v>
      </c>
      <c r="H10" s="16">
        <f t="shared" si="1"/>
        <v>540000</v>
      </c>
      <c r="I10" s="10">
        <v>600000</v>
      </c>
      <c r="J10" s="11">
        <f t="shared" si="0"/>
        <v>0.9</v>
      </c>
      <c r="K10" s="8" t="s">
        <v>30</v>
      </c>
    </row>
    <row r="11" spans="1:11" x14ac:dyDescent="0.35">
      <c r="A11" s="12">
        <v>8</v>
      </c>
      <c r="B11" s="13" t="s">
        <v>28</v>
      </c>
      <c r="C11" s="14" t="s">
        <v>21</v>
      </c>
      <c r="D11" s="12" t="s">
        <v>26</v>
      </c>
      <c r="E11" s="14" t="s">
        <v>20</v>
      </c>
      <c r="F11" s="15">
        <v>25</v>
      </c>
      <c r="G11" s="16">
        <v>8500</v>
      </c>
      <c r="H11" s="16">
        <f t="shared" si="1"/>
        <v>212500</v>
      </c>
      <c r="I11" s="16">
        <v>250000</v>
      </c>
      <c r="J11" s="17">
        <f t="shared" si="0"/>
        <v>0.85</v>
      </c>
      <c r="K11" s="14"/>
    </row>
    <row r="12" spans="1:11" x14ac:dyDescent="0.35">
      <c r="A12" s="6">
        <v>9</v>
      </c>
      <c r="B12" s="7" t="s">
        <v>28</v>
      </c>
      <c r="C12" s="8" t="s">
        <v>25</v>
      </c>
      <c r="D12" s="6" t="s">
        <v>15</v>
      </c>
      <c r="E12" s="8" t="s">
        <v>23</v>
      </c>
      <c r="F12" s="9">
        <v>200</v>
      </c>
      <c r="G12" s="10">
        <v>1200</v>
      </c>
      <c r="H12" s="16">
        <f t="shared" si="1"/>
        <v>240000</v>
      </c>
      <c r="I12" s="10">
        <v>300000</v>
      </c>
      <c r="J12" s="11">
        <f t="shared" si="0"/>
        <v>0.8</v>
      </c>
      <c r="K12" s="8" t="s">
        <v>31</v>
      </c>
    </row>
    <row r="13" spans="1:11" x14ac:dyDescent="0.35">
      <c r="A13" s="12">
        <v>10</v>
      </c>
      <c r="B13" s="13" t="s">
        <v>28</v>
      </c>
      <c r="C13" s="14" t="s">
        <v>27</v>
      </c>
      <c r="D13" s="12" t="s">
        <v>19</v>
      </c>
      <c r="E13" s="14" t="s">
        <v>16</v>
      </c>
      <c r="F13" s="15">
        <v>20</v>
      </c>
      <c r="G13" s="16">
        <v>45000</v>
      </c>
      <c r="H13" s="16">
        <f t="shared" si="1"/>
        <v>900000</v>
      </c>
      <c r="I13" s="16">
        <v>900000</v>
      </c>
      <c r="J13" s="17">
        <f t="shared" si="0"/>
        <v>1</v>
      </c>
      <c r="K13" s="14" t="s">
        <v>32</v>
      </c>
    </row>
    <row r="14" spans="1:11" x14ac:dyDescent="0.35">
      <c r="A14" s="6">
        <v>11</v>
      </c>
      <c r="B14" s="7" t="s">
        <v>33</v>
      </c>
      <c r="C14" s="8" t="s">
        <v>14</v>
      </c>
      <c r="D14" s="6" t="s">
        <v>15</v>
      </c>
      <c r="E14" s="8" t="s">
        <v>23</v>
      </c>
      <c r="F14" s="9">
        <v>150</v>
      </c>
      <c r="G14" s="10">
        <v>1200</v>
      </c>
      <c r="H14" s="16">
        <f t="shared" si="1"/>
        <v>180000</v>
      </c>
      <c r="I14" s="10">
        <v>200000</v>
      </c>
      <c r="J14" s="11">
        <f t="shared" si="0"/>
        <v>0.9</v>
      </c>
      <c r="K14" s="8"/>
    </row>
    <row r="15" spans="1:11" x14ac:dyDescent="0.35">
      <c r="A15" s="12">
        <v>12</v>
      </c>
      <c r="B15" s="13" t="s">
        <v>33</v>
      </c>
      <c r="C15" s="14" t="s">
        <v>18</v>
      </c>
      <c r="D15" s="12" t="s">
        <v>26</v>
      </c>
      <c r="E15" s="14" t="s">
        <v>20</v>
      </c>
      <c r="F15" s="15">
        <v>18</v>
      </c>
      <c r="G15" s="16">
        <v>8500</v>
      </c>
      <c r="H15" s="16">
        <f t="shared" si="1"/>
        <v>153000</v>
      </c>
      <c r="I15" s="16">
        <v>180000</v>
      </c>
      <c r="J15" s="17">
        <f t="shared" si="0"/>
        <v>0.85</v>
      </c>
      <c r="K15" s="14"/>
    </row>
    <row r="16" spans="1:11" x14ac:dyDescent="0.35">
      <c r="A16" s="6">
        <v>13</v>
      </c>
      <c r="B16" s="7" t="s">
        <v>33</v>
      </c>
      <c r="C16" s="8" t="s">
        <v>21</v>
      </c>
      <c r="D16" s="6" t="s">
        <v>22</v>
      </c>
      <c r="E16" s="8" t="s">
        <v>16</v>
      </c>
      <c r="F16" s="9">
        <v>10</v>
      </c>
      <c r="G16" s="10">
        <v>45000</v>
      </c>
      <c r="H16" s="16">
        <f t="shared" si="1"/>
        <v>450000</v>
      </c>
      <c r="I16" s="10">
        <v>500000</v>
      </c>
      <c r="J16" s="11">
        <f t="shared" si="0"/>
        <v>0.9</v>
      </c>
      <c r="K16" s="8"/>
    </row>
    <row r="17" spans="1:11" x14ac:dyDescent="0.35">
      <c r="A17" s="12">
        <v>14</v>
      </c>
      <c r="B17" s="13" t="s">
        <v>33</v>
      </c>
      <c r="C17" s="14" t="s">
        <v>25</v>
      </c>
      <c r="D17" s="12" t="s">
        <v>19</v>
      </c>
      <c r="E17" s="14" t="s">
        <v>20</v>
      </c>
      <c r="F17" s="15">
        <v>40</v>
      </c>
      <c r="G17" s="16">
        <v>8500</v>
      </c>
      <c r="H17" s="16">
        <f t="shared" si="1"/>
        <v>340000</v>
      </c>
      <c r="I17" s="16">
        <v>380000</v>
      </c>
      <c r="J17" s="17">
        <f t="shared" si="0"/>
        <v>0.89473684210526316</v>
      </c>
      <c r="K17" s="14" t="s">
        <v>34</v>
      </c>
    </row>
    <row r="18" spans="1:11" x14ac:dyDescent="0.35">
      <c r="A18" s="6">
        <v>15</v>
      </c>
      <c r="B18" s="7" t="s">
        <v>33</v>
      </c>
      <c r="C18" s="8" t="s">
        <v>27</v>
      </c>
      <c r="D18" s="6" t="s">
        <v>26</v>
      </c>
      <c r="E18" s="8" t="s">
        <v>23</v>
      </c>
      <c r="F18" s="9">
        <v>60</v>
      </c>
      <c r="G18" s="10">
        <v>1200</v>
      </c>
      <c r="H18" s="16">
        <f t="shared" si="1"/>
        <v>72000</v>
      </c>
      <c r="I18" s="10">
        <v>100000</v>
      </c>
      <c r="J18" s="11">
        <f t="shared" si="0"/>
        <v>0.72</v>
      </c>
      <c r="K18" s="8"/>
    </row>
    <row r="19" spans="1:11" x14ac:dyDescent="0.35">
      <c r="A19" s="12">
        <v>16</v>
      </c>
      <c r="B19" s="13" t="s">
        <v>35</v>
      </c>
      <c r="C19" s="14" t="s">
        <v>14</v>
      </c>
      <c r="D19" s="12" t="s">
        <v>15</v>
      </c>
      <c r="E19" s="14" t="s">
        <v>16</v>
      </c>
      <c r="F19" s="15">
        <v>22</v>
      </c>
      <c r="G19" s="16">
        <v>45000</v>
      </c>
      <c r="H19" s="16">
        <f t="shared" si="1"/>
        <v>990000</v>
      </c>
      <c r="I19" s="16">
        <v>1000000</v>
      </c>
      <c r="J19" s="17">
        <f t="shared" si="0"/>
        <v>0.99</v>
      </c>
      <c r="K19" s="14" t="s">
        <v>36</v>
      </c>
    </row>
    <row r="20" spans="1:11" x14ac:dyDescent="0.35">
      <c r="A20" s="6">
        <v>17</v>
      </c>
      <c r="B20" s="7" t="s">
        <v>35</v>
      </c>
      <c r="C20" s="8" t="s">
        <v>18</v>
      </c>
      <c r="D20" s="6" t="s">
        <v>19</v>
      </c>
      <c r="E20" s="8" t="s">
        <v>23</v>
      </c>
      <c r="F20" s="9">
        <v>90</v>
      </c>
      <c r="G20" s="10">
        <v>1200</v>
      </c>
      <c r="H20" s="16">
        <f t="shared" si="1"/>
        <v>108000</v>
      </c>
      <c r="I20" s="10">
        <v>120000</v>
      </c>
      <c r="J20" s="11">
        <f t="shared" si="0"/>
        <v>0.9</v>
      </c>
      <c r="K20" s="8"/>
    </row>
    <row r="21" spans="1:11" x14ac:dyDescent="0.35">
      <c r="A21" s="12">
        <v>18</v>
      </c>
      <c r="B21" s="13" t="s">
        <v>35</v>
      </c>
      <c r="C21" s="14" t="s">
        <v>21</v>
      </c>
      <c r="D21" s="12" t="s">
        <v>15</v>
      </c>
      <c r="E21" s="14" t="s">
        <v>20</v>
      </c>
      <c r="F21" s="15">
        <v>35</v>
      </c>
      <c r="G21" s="16">
        <v>8500</v>
      </c>
      <c r="H21" s="16">
        <f t="shared" si="1"/>
        <v>297500</v>
      </c>
      <c r="I21" s="16">
        <v>350000</v>
      </c>
      <c r="J21" s="17">
        <f t="shared" si="0"/>
        <v>0.85</v>
      </c>
      <c r="K21" s="14"/>
    </row>
    <row r="22" spans="1:11" x14ac:dyDescent="0.35">
      <c r="A22" s="6">
        <v>19</v>
      </c>
      <c r="B22" s="7" t="s">
        <v>35</v>
      </c>
      <c r="C22" s="8" t="s">
        <v>25</v>
      </c>
      <c r="D22" s="6" t="s">
        <v>22</v>
      </c>
      <c r="E22" s="8" t="s">
        <v>16</v>
      </c>
      <c r="F22" s="9">
        <v>14</v>
      </c>
      <c r="G22" s="10">
        <v>45000</v>
      </c>
      <c r="H22" s="16">
        <f t="shared" si="1"/>
        <v>630000</v>
      </c>
      <c r="I22" s="10">
        <v>650000</v>
      </c>
      <c r="J22" s="11">
        <f t="shared" si="0"/>
        <v>0.96923076923076923</v>
      </c>
      <c r="K22" s="8" t="s">
        <v>37</v>
      </c>
    </row>
    <row r="23" spans="1:11" ht="15" thickBot="1" x14ac:dyDescent="0.4">
      <c r="A23" s="12">
        <v>20</v>
      </c>
      <c r="B23" s="13" t="s">
        <v>35</v>
      </c>
      <c r="C23" s="14" t="s">
        <v>27</v>
      </c>
      <c r="D23" s="12" t="s">
        <v>26</v>
      </c>
      <c r="E23" s="14" t="s">
        <v>20</v>
      </c>
      <c r="F23" s="15">
        <v>28</v>
      </c>
      <c r="G23" s="16">
        <v>8500</v>
      </c>
      <c r="H23" s="16">
        <f t="shared" si="1"/>
        <v>238000</v>
      </c>
      <c r="I23" s="16">
        <v>280000</v>
      </c>
      <c r="J23" s="17">
        <f t="shared" si="0"/>
        <v>0.85</v>
      </c>
      <c r="K23" s="14"/>
    </row>
    <row r="24" spans="1:11" ht="15" thickBot="1" x14ac:dyDescent="0.4">
      <c r="A24" s="18" t="s">
        <v>38</v>
      </c>
      <c r="B24" s="2"/>
      <c r="C24" s="2"/>
      <c r="D24" s="2"/>
      <c r="E24" s="2"/>
      <c r="F24" s="19">
        <f>SUM(F4:F23)</f>
        <v>1027</v>
      </c>
      <c r="G24" s="20" t="s">
        <v>39</v>
      </c>
      <c r="H24" s="19">
        <f>SUM(H4:H23)</f>
        <v>7306000</v>
      </c>
      <c r="I24" s="19">
        <f>SUM(I4:I23)</f>
        <v>8010000</v>
      </c>
      <c r="J24" s="21">
        <f t="shared" si="0"/>
        <v>0.91210986267166039</v>
      </c>
      <c r="K24" s="20"/>
    </row>
  </sheetData>
  <mergeCells count="3">
    <mergeCell ref="A1:K1"/>
    <mergeCell ref="A2:K2"/>
    <mergeCell ref="A24:E24"/>
  </mergeCells>
  <conditionalFormatting sqref="J4:J23">
    <cfRule type="colorScale" priority="1">
      <colorScale>
        <cfvo type="num" val="0"/>
        <cfvo type="num" val="0.8"/>
        <cfvo type="num" val="1.5"/>
        <color rgb="FFFF4444"/>
        <color rgb="FFFFDD44"/>
        <color rgb="FF00AA44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MISRuns">
                <anchor moveWithCells="1" sizeWithCells="1">
                  <from>
                    <xdr:col>13</xdr:col>
                    <xdr:colOff>241300</xdr:colOff>
                    <xdr:row>0</xdr:row>
                    <xdr:rowOff>177800</xdr:rowOff>
                  </from>
                  <to>
                    <xdr:col>16</xdr:col>
                    <xdr:colOff>152400</xdr:colOff>
                    <xdr:row>3</xdr:row>
                    <xdr:rowOff>44450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7B49A6-2B0E-45AB-BC09-1B94364048D6}">
  <sheetPr codeName="Sheet2"/>
  <dimension ref="A1:J32"/>
  <sheetViews>
    <sheetView workbookViewId="0">
      <selection activeCell="A4" sqref="A4:B5"/>
    </sheetView>
  </sheetViews>
  <sheetFormatPr defaultRowHeight="14.5" x14ac:dyDescent="0.35"/>
  <cols>
    <col min="1" max="1" width="13.1796875" customWidth="1"/>
    <col min="2" max="3" width="10.54296875" bestFit="1" customWidth="1"/>
    <col min="4" max="4" width="9.26953125" bestFit="1" customWidth="1"/>
    <col min="5" max="5" width="15" bestFit="1" customWidth="1"/>
    <col min="6" max="6" width="11.81640625" bestFit="1" customWidth="1"/>
    <col min="7" max="7" width="7.453125" customWidth="1"/>
    <col min="8" max="8" width="7" bestFit="1" customWidth="1"/>
    <col min="9" max="9" width="10.36328125" bestFit="1" customWidth="1"/>
  </cols>
  <sheetData>
    <row r="1" spans="1:10" ht="28.5" x14ac:dyDescent="0.35">
      <c r="A1" s="22" t="s">
        <v>40</v>
      </c>
      <c r="B1" s="2"/>
      <c r="C1" s="2"/>
      <c r="D1" s="2"/>
      <c r="E1" s="2"/>
      <c r="F1" s="2"/>
      <c r="G1" s="2"/>
      <c r="H1" s="2"/>
      <c r="I1" s="2"/>
    </row>
    <row r="2" spans="1:10" x14ac:dyDescent="0.35">
      <c r="A2" s="23" t="s">
        <v>41</v>
      </c>
      <c r="B2" s="2"/>
      <c r="C2" s="2"/>
      <c r="D2" s="2"/>
      <c r="E2" s="2"/>
      <c r="F2" s="2"/>
      <c r="G2" s="2"/>
      <c r="H2" s="2"/>
      <c r="I2" s="2"/>
    </row>
    <row r="3" spans="1:10" ht="15" thickBot="1" x14ac:dyDescent="0.4"/>
    <row r="4" spans="1:10" ht="36.5" customHeight="1" thickBot="1" x14ac:dyDescent="0.4">
      <c r="A4" s="24">
        <f>SUMIF(SALES_DATA!A4:A14,"&lt;&gt;"&amp;"",SALES_DATA!G4:G23)</f>
        <v>210300</v>
      </c>
      <c r="B4" s="2"/>
      <c r="C4" s="24">
        <f>SUMIF(SALES_DATA!C4:C14,"&lt;&gt;"&amp;"",SALES_DATA!I4:I23)</f>
        <v>4450000</v>
      </c>
      <c r="D4" s="2"/>
      <c r="F4" s="25">
        <f>IF(C5=0,0,B5/C5)</f>
        <v>0</v>
      </c>
      <c r="G4" s="2"/>
      <c r="H4" s="26">
        <f>COUNTA(SALES_DATA!A4:A23)</f>
        <v>20</v>
      </c>
      <c r="I4" s="2"/>
    </row>
    <row r="5" spans="1:10" ht="22.5" customHeight="1" x14ac:dyDescent="0.35">
      <c r="A5" s="2"/>
      <c r="B5" s="2"/>
      <c r="C5" s="2"/>
      <c r="D5" s="2"/>
      <c r="F5" s="2"/>
      <c r="G5" s="2"/>
      <c r="H5" s="2"/>
      <c r="I5" s="2"/>
    </row>
    <row r="8" spans="1:10" x14ac:dyDescent="0.35">
      <c r="A8" s="27" t="s">
        <v>42</v>
      </c>
      <c r="B8" s="2"/>
      <c r="C8" s="2"/>
      <c r="D8" s="2"/>
      <c r="F8" s="27" t="s">
        <v>43</v>
      </c>
      <c r="G8" s="2"/>
      <c r="H8" s="2"/>
      <c r="I8" s="2"/>
    </row>
    <row r="9" spans="1:10" x14ac:dyDescent="0.35">
      <c r="A9" s="28" t="s">
        <v>5</v>
      </c>
      <c r="B9" s="28" t="s">
        <v>9</v>
      </c>
      <c r="C9" s="28" t="s">
        <v>10</v>
      </c>
      <c r="D9" s="28" t="s">
        <v>11</v>
      </c>
      <c r="F9" s="28" t="s">
        <v>4</v>
      </c>
      <c r="G9" s="28" t="s">
        <v>44</v>
      </c>
      <c r="H9" s="28" t="s">
        <v>45</v>
      </c>
      <c r="I9" s="28" t="s">
        <v>46</v>
      </c>
    </row>
    <row r="10" spans="1:10" s="60" customFormat="1" x14ac:dyDescent="0.35">
      <c r="A10" s="65" t="s">
        <v>15</v>
      </c>
      <c r="B10" s="59">
        <f>SUMIF(SALES_DATA!D4:D23,A10,SALES_DATA!H4:H23)</f>
        <v>2807500</v>
      </c>
      <c r="C10" s="59">
        <f>SUMIF(SALES_DATA!D4:D23,A10,SALES_DATA!I4:I23)</f>
        <v>3050000</v>
      </c>
      <c r="D10" s="66">
        <f>IF(C10=0,0,B10/C10)</f>
        <v>0.92049180327868851</v>
      </c>
      <c r="F10" s="57" t="s">
        <v>14</v>
      </c>
      <c r="G10" s="72">
        <f>SUMIF(SALES_DATA!$C4:$C23,F10,SALES_DATA!$G4:$G23)</f>
        <v>99700</v>
      </c>
      <c r="H10" s="73">
        <f>COUNTIF(SALES_DATA!$C4:$C23,F10)</f>
        <v>4</v>
      </c>
      <c r="I10" s="72">
        <f t="shared" ref="I10:I15" si="0">IF(H10=0,0,G10/H10)</f>
        <v>24925</v>
      </c>
      <c r="J10" s="74"/>
    </row>
    <row r="11" spans="1:10" s="60" customFormat="1" x14ac:dyDescent="0.35">
      <c r="A11" s="65" t="s">
        <v>19</v>
      </c>
      <c r="B11" s="59">
        <f>SUMIF(SALES_DATA!D5:D24,A11,SALES_DATA!H5:H24)</f>
        <v>1699000</v>
      </c>
      <c r="C11" s="59">
        <f>SUMIF(SALES_DATA!D5:D24,A11,SALES_DATA!I5:I24)</f>
        <v>1820000</v>
      </c>
      <c r="D11" s="66">
        <f>IF(C11=0,0,B11/C11)</f>
        <v>0.93351648351648353</v>
      </c>
      <c r="F11" s="57" t="s">
        <v>18</v>
      </c>
      <c r="G11" s="59">
        <f>SUMIF(SALES_DATA!$C5:$C24,F11,SALES_DATA!$G5:$G24)</f>
        <v>63200</v>
      </c>
      <c r="H11" s="58">
        <f>COUNTIF(SALES_DATA!$C5:$C24,F11)</f>
        <v>4</v>
      </c>
      <c r="I11" s="59">
        <f t="shared" si="0"/>
        <v>15800</v>
      </c>
    </row>
    <row r="12" spans="1:10" s="60" customFormat="1" x14ac:dyDescent="0.35">
      <c r="A12" s="65" t="s">
        <v>22</v>
      </c>
      <c r="B12" s="59">
        <f>SUMIF(SALES_DATA!D6:D25,A12,SALES_DATA!H6:H25)</f>
        <v>1764000</v>
      </c>
      <c r="C12" s="59">
        <f>SUMIF(SALES_DATA!D6:D25,A12,SALES_DATA!I6:I25)</f>
        <v>1930000</v>
      </c>
      <c r="D12" s="66">
        <f>IF(C12=0,0,B12/C12)</f>
        <v>0.91398963730569949</v>
      </c>
      <c r="F12" s="57" t="s">
        <v>21</v>
      </c>
      <c r="G12" s="59">
        <f>SUMIF(SALES_DATA!$C6:$C25,F12,SALES_DATA!$G6:$G25)</f>
        <v>63200</v>
      </c>
      <c r="H12" s="58">
        <f>COUNTIF(SALES_DATA!$C6:$C25,F12)</f>
        <v>4</v>
      </c>
      <c r="I12" s="59">
        <f t="shared" si="0"/>
        <v>15800</v>
      </c>
    </row>
    <row r="13" spans="1:10" s="60" customFormat="1" x14ac:dyDescent="0.35">
      <c r="A13" s="65" t="s">
        <v>26</v>
      </c>
      <c r="B13" s="59">
        <f>SUMIF(SALES_DATA!D7:D26,A13,SALES_DATA!H7:H26)</f>
        <v>1035500</v>
      </c>
      <c r="C13" s="59">
        <f>SUMIF(SALES_DATA!D7:D26,A13,SALES_DATA!I7:I26)</f>
        <v>1210000</v>
      </c>
      <c r="D13" s="66">
        <f>IF(C13=0,0,B13/C13)</f>
        <v>0.85578512396694217</v>
      </c>
      <c r="F13" s="57" t="s">
        <v>25</v>
      </c>
      <c r="G13" s="59">
        <f>SUMIF(SALES_DATA!$C7:$C26,F13,SALES_DATA!$G7:$G26)</f>
        <v>99700</v>
      </c>
      <c r="H13" s="58">
        <f>COUNTIF(SALES_DATA!$C7:$C26,F13)</f>
        <v>4</v>
      </c>
      <c r="I13" s="59">
        <f t="shared" si="0"/>
        <v>24925</v>
      </c>
    </row>
    <row r="14" spans="1:10" s="60" customFormat="1" x14ac:dyDescent="0.35">
      <c r="A14" s="67" t="s">
        <v>47</v>
      </c>
      <c r="B14" s="68">
        <f>SUM(B10:B13)</f>
        <v>7306000</v>
      </c>
      <c r="C14" s="68">
        <f>SUM(C10:C13)</f>
        <v>8010000</v>
      </c>
      <c r="D14" s="69">
        <f>IF(C14=0,0,B14/C14)</f>
        <v>0.91210986267166039</v>
      </c>
      <c r="F14" s="57" t="s">
        <v>27</v>
      </c>
      <c r="G14" s="59">
        <f>SUMIF(SALES_DATA!$C8:$C27,F14,SALES_DATA!$G8:$G27)</f>
        <v>55900</v>
      </c>
      <c r="H14" s="58">
        <f>COUNTIF(SALES_DATA!$C8:$C27,F14)</f>
        <v>4</v>
      </c>
      <c r="I14" s="59">
        <f t="shared" si="0"/>
        <v>13975</v>
      </c>
    </row>
    <row r="15" spans="1:10" x14ac:dyDescent="0.35">
      <c r="F15" s="28" t="s">
        <v>47</v>
      </c>
      <c r="G15" s="29">
        <f>SUM(G10:G14)</f>
        <v>381700</v>
      </c>
      <c r="H15" s="31">
        <f>SUM(H10:H14)</f>
        <v>20</v>
      </c>
      <c r="I15" s="29">
        <f t="shared" si="0"/>
        <v>19085</v>
      </c>
    </row>
    <row r="17" spans="1:9" x14ac:dyDescent="0.35">
      <c r="A17" s="27" t="s">
        <v>48</v>
      </c>
      <c r="B17" s="2"/>
      <c r="C17" s="2"/>
      <c r="D17" s="2"/>
      <c r="E17" s="2"/>
      <c r="F17" s="2"/>
      <c r="G17" s="2"/>
      <c r="H17" s="2"/>
      <c r="I17" s="2"/>
    </row>
    <row r="18" spans="1:9" x14ac:dyDescent="0.35">
      <c r="A18" s="28" t="s">
        <v>6</v>
      </c>
      <c r="B18" s="28" t="s">
        <v>49</v>
      </c>
      <c r="C18" s="28" t="s">
        <v>9</v>
      </c>
      <c r="D18" s="28" t="s">
        <v>45</v>
      </c>
      <c r="E18" s="28" t="s">
        <v>50</v>
      </c>
    </row>
    <row r="19" spans="1:9" x14ac:dyDescent="0.35">
      <c r="A19" s="32" t="s">
        <v>16</v>
      </c>
      <c r="B19" s="33">
        <f>SUMIF(SALES_DATA!$D4:$D23,A19,SALES_DATA!$E4:$E23)</f>
        <v>0</v>
      </c>
      <c r="C19" s="33">
        <f>SUMIF(SALES_DATA!$E4:$E23,A19,SALES_DATA!$F4:$F23)</f>
        <v>101</v>
      </c>
      <c r="D19" s="33">
        <f>SUMIF(SALES_DATA!$F4:$F23,A19,SALES_DATA!$G4:$G23)</f>
        <v>0</v>
      </c>
      <c r="E19" s="35">
        <f>IF(C22=0,0,C19/C22)</f>
        <v>9.8344693281402148E-2</v>
      </c>
    </row>
    <row r="20" spans="1:9" x14ac:dyDescent="0.35">
      <c r="A20" s="36" t="s">
        <v>20</v>
      </c>
      <c r="B20" s="33">
        <f>SUMIF(SALES_DATA!$D5:$D24,A20,SALES_DATA!$E5:$E24)</f>
        <v>0</v>
      </c>
      <c r="C20" s="33">
        <f>SUMIF(SALES_DATA!$E5:$E24,A20,SALES_DATA!$F5:$F24)</f>
        <v>226</v>
      </c>
      <c r="D20" s="33">
        <f>SUMIF(SALES_DATA!$F5:$F24,A20,SALES_DATA!$G5:$G24)</f>
        <v>0</v>
      </c>
      <c r="E20" s="39">
        <f>IF(C22=0,0,C20/C22)</f>
        <v>0.22005842259006816</v>
      </c>
    </row>
    <row r="21" spans="1:9" x14ac:dyDescent="0.35">
      <c r="A21" s="40" t="s">
        <v>23</v>
      </c>
      <c r="B21" s="33">
        <f>SUMIF(SALES_DATA!$D6:$D25,A21,SALES_DATA!$E6:$E25)</f>
        <v>0</v>
      </c>
      <c r="C21" s="33">
        <f>SUMIF(SALES_DATA!$E6:$E25,A21,SALES_DATA!$F6:$F25)</f>
        <v>700</v>
      </c>
      <c r="D21" s="33">
        <f>SUMIF(SALES_DATA!$F6:$F25,A21,SALES_DATA!$G6:$G25)</f>
        <v>0</v>
      </c>
      <c r="E21" s="43">
        <f>IF(C22=0,0,C21/C22)</f>
        <v>0.6815968841285297</v>
      </c>
    </row>
    <row r="22" spans="1:9" x14ac:dyDescent="0.35">
      <c r="A22" s="28" t="s">
        <v>47</v>
      </c>
      <c r="B22" s="29">
        <f>SUM(B19:B21)</f>
        <v>0</v>
      </c>
      <c r="C22" s="29">
        <f>SUM(C19:C21)</f>
        <v>1027</v>
      </c>
      <c r="D22" s="31">
        <f>SUM(D19:D21)</f>
        <v>0</v>
      </c>
      <c r="E22" s="30" t="s">
        <v>51</v>
      </c>
    </row>
    <row r="24" spans="1:9" x14ac:dyDescent="0.35">
      <c r="A24" s="27" t="s">
        <v>52</v>
      </c>
      <c r="B24" s="2"/>
      <c r="C24" s="2"/>
      <c r="D24" s="2"/>
    </row>
    <row r="25" spans="1:9" x14ac:dyDescent="0.35">
      <c r="A25" s="28" t="s">
        <v>3</v>
      </c>
      <c r="B25" s="28" t="s">
        <v>9</v>
      </c>
      <c r="C25" s="28" t="s">
        <v>45</v>
      </c>
      <c r="D25" s="28" t="s">
        <v>11</v>
      </c>
    </row>
    <row r="26" spans="1:9" x14ac:dyDescent="0.35">
      <c r="A26" s="13" t="s">
        <v>13</v>
      </c>
      <c r="B26" s="16">
        <f>SUMIF(SALES_DATA!$A4:$A23,A26,SALES_DATA!$G4:$G23)</f>
        <v>0</v>
      </c>
      <c r="C26" s="15">
        <f>COUNTIF(SALES_DATA!$A4:$A23,A26)</f>
        <v>0</v>
      </c>
      <c r="D26" s="17" t="str">
        <f>IFERROR(SUMIF(SALES_DATA!A4:A23,A26,SALES_DATA!I4:I23)/C26,"")</f>
        <v/>
      </c>
    </row>
    <row r="27" spans="1:9" x14ac:dyDescent="0.35">
      <c r="A27" s="7" t="s">
        <v>28</v>
      </c>
      <c r="B27" s="16">
        <f>SUMIF(SALES_DATA!$A5:$A24,A27,SALES_DATA!$G5:$G24)</f>
        <v>0</v>
      </c>
      <c r="C27" s="15">
        <f>COUNTIF(SALES_DATA!$A5:$A24,A27)</f>
        <v>0</v>
      </c>
      <c r="D27" s="17" t="str">
        <f>IFERROR(SUMIF(SALES_DATA!A5:A24,A27,SALES_DATA!I5:I24)/C27,"")</f>
        <v/>
      </c>
    </row>
    <row r="28" spans="1:9" x14ac:dyDescent="0.35">
      <c r="A28" s="13" t="s">
        <v>33</v>
      </c>
      <c r="B28" s="16">
        <f>SUMIF(SALES_DATA!$A6:$A25,A28,SALES_DATA!$G6:$G25)</f>
        <v>0</v>
      </c>
      <c r="C28" s="15">
        <f>COUNTIF(SALES_DATA!$A6:$A25,A28)</f>
        <v>0</v>
      </c>
      <c r="D28" s="17" t="str">
        <f>IFERROR(SUMIF(SALES_DATA!A6:A25,A28,SALES_DATA!I6:I25)/C28,"")</f>
        <v/>
      </c>
    </row>
    <row r="29" spans="1:9" x14ac:dyDescent="0.35">
      <c r="A29" s="7" t="s">
        <v>35</v>
      </c>
      <c r="B29" s="16">
        <f>SUMIF(SALES_DATA!$A7:$A26,A29,SALES_DATA!$G7:$G26)</f>
        <v>0</v>
      </c>
      <c r="C29" s="15">
        <f>COUNTIF(SALES_DATA!$A7:$A26,A29)</f>
        <v>0</v>
      </c>
      <c r="D29" s="17" t="str">
        <f>IFERROR(SUMIF(SALES_DATA!A7:A26,A29,SALES_DATA!I7:I26)/C29,"")</f>
        <v/>
      </c>
    </row>
    <row r="31" spans="1:9" ht="15" thickBot="1" x14ac:dyDescent="0.4"/>
    <row r="32" spans="1:9" ht="16" thickBot="1" x14ac:dyDescent="0.4">
      <c r="A32" s="44" t="s">
        <v>53</v>
      </c>
      <c r="B32" s="2"/>
      <c r="C32" s="2"/>
      <c r="D32" s="2"/>
      <c r="F32" s="45" t="s">
        <v>54</v>
      </c>
      <c r="G32" s="2"/>
      <c r="H32" s="2"/>
      <c r="I32" s="2"/>
    </row>
  </sheetData>
  <mergeCells count="12">
    <mergeCell ref="A8:D8"/>
    <mergeCell ref="F8:I8"/>
    <mergeCell ref="A17:I17"/>
    <mergeCell ref="A24:D24"/>
    <mergeCell ref="A32:D32"/>
    <mergeCell ref="F32:I32"/>
    <mergeCell ref="A1:I1"/>
    <mergeCell ref="A2:I2"/>
    <mergeCell ref="A4:B5"/>
    <mergeCell ref="C4:D5"/>
    <mergeCell ref="F4:G5"/>
    <mergeCell ref="H4:I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F9F98-4C4F-4A65-9E6A-A668B7EC81CD}">
  <sheetPr codeName="Sheet3"/>
  <dimension ref="B1:H1000"/>
  <sheetViews>
    <sheetView workbookViewId="0">
      <selection activeCell="J5" sqref="J5"/>
    </sheetView>
  </sheetViews>
  <sheetFormatPr defaultRowHeight="14.5" x14ac:dyDescent="0.35"/>
  <cols>
    <col min="1" max="1" width="3" customWidth="1"/>
    <col min="2" max="2" width="18" customWidth="1"/>
    <col min="3" max="4" width="22" customWidth="1"/>
    <col min="5" max="5" width="10" customWidth="1"/>
    <col min="6" max="7" width="16" customWidth="1"/>
    <col min="8" max="8" width="14" customWidth="1"/>
  </cols>
  <sheetData>
    <row r="1" spans="2:8" ht="21" x14ac:dyDescent="0.35">
      <c r="B1" s="46" t="s">
        <v>55</v>
      </c>
      <c r="C1" s="2"/>
      <c r="D1" s="2"/>
      <c r="E1" s="2"/>
      <c r="F1" s="2"/>
      <c r="G1" s="2"/>
      <c r="H1" s="2"/>
    </row>
    <row r="2" spans="2:8" ht="20" customHeight="1" x14ac:dyDescent="0.35">
      <c r="B2" s="23" t="s">
        <v>56</v>
      </c>
      <c r="C2" s="2"/>
      <c r="D2" s="2"/>
      <c r="E2" s="2"/>
      <c r="F2" s="2"/>
      <c r="G2" s="2"/>
      <c r="H2" s="2"/>
    </row>
    <row r="3" spans="2:8" ht="24" customHeight="1" x14ac:dyDescent="0.35">
      <c r="B3" s="28" t="s">
        <v>5</v>
      </c>
      <c r="C3" s="28" t="s">
        <v>4</v>
      </c>
      <c r="D3" s="28" t="s">
        <v>6</v>
      </c>
      <c r="E3" s="28" t="s">
        <v>7</v>
      </c>
      <c r="F3" s="28" t="s">
        <v>9</v>
      </c>
      <c r="G3" s="28" t="s">
        <v>10</v>
      </c>
      <c r="H3" s="28" t="s">
        <v>57</v>
      </c>
    </row>
    <row r="4" spans="2:8" s="60" customFormat="1" ht="19" customHeight="1" x14ac:dyDescent="0.35">
      <c r="B4" s="61" t="s">
        <v>15</v>
      </c>
      <c r="C4" s="62" t="s">
        <v>14</v>
      </c>
      <c r="D4" s="62" t="s">
        <v>16</v>
      </c>
      <c r="E4" s="63">
        <v>15</v>
      </c>
      <c r="F4" s="64">
        <v>675000</v>
      </c>
      <c r="G4" s="64">
        <v>700000</v>
      </c>
      <c r="H4" s="70" t="s">
        <v>58</v>
      </c>
    </row>
    <row r="5" spans="2:8" s="60" customFormat="1" ht="19" customHeight="1" x14ac:dyDescent="0.35">
      <c r="B5" s="56" t="s">
        <v>19</v>
      </c>
      <c r="C5" s="57" t="s">
        <v>18</v>
      </c>
      <c r="D5" s="57" t="s">
        <v>20</v>
      </c>
      <c r="E5" s="58">
        <v>30</v>
      </c>
      <c r="F5" s="59">
        <v>255000</v>
      </c>
      <c r="G5" s="59">
        <v>300000</v>
      </c>
      <c r="H5" s="70" t="s">
        <v>58</v>
      </c>
    </row>
    <row r="6" spans="2:8" s="60" customFormat="1" ht="19" customHeight="1" x14ac:dyDescent="0.35">
      <c r="B6" s="61" t="s">
        <v>22</v>
      </c>
      <c r="C6" s="62" t="s">
        <v>21</v>
      </c>
      <c r="D6" s="62" t="s">
        <v>23</v>
      </c>
      <c r="E6" s="63">
        <v>120</v>
      </c>
      <c r="F6" s="64">
        <v>144000</v>
      </c>
      <c r="G6" s="64">
        <v>180000</v>
      </c>
      <c r="H6" s="70" t="s">
        <v>58</v>
      </c>
    </row>
    <row r="7" spans="2:8" s="60" customFormat="1" ht="19" customHeight="1" x14ac:dyDescent="0.35">
      <c r="B7" s="56" t="s">
        <v>26</v>
      </c>
      <c r="C7" s="57" t="s">
        <v>25</v>
      </c>
      <c r="D7" s="57" t="s">
        <v>16</v>
      </c>
      <c r="E7" s="58">
        <v>8</v>
      </c>
      <c r="F7" s="59">
        <v>360000</v>
      </c>
      <c r="G7" s="59">
        <v>400000</v>
      </c>
      <c r="H7" s="70" t="s">
        <v>58</v>
      </c>
    </row>
    <row r="8" spans="2:8" s="60" customFormat="1" ht="19" customHeight="1" x14ac:dyDescent="0.35">
      <c r="B8" s="61" t="s">
        <v>19</v>
      </c>
      <c r="C8" s="62" t="s">
        <v>27</v>
      </c>
      <c r="D8" s="62" t="s">
        <v>23</v>
      </c>
      <c r="E8" s="63">
        <v>80</v>
      </c>
      <c r="F8" s="64">
        <v>96000</v>
      </c>
      <c r="G8" s="64">
        <v>120000</v>
      </c>
      <c r="H8" s="70" t="s">
        <v>58</v>
      </c>
    </row>
    <row r="9" spans="2:8" s="60" customFormat="1" ht="19" customHeight="1" x14ac:dyDescent="0.35">
      <c r="B9" s="56" t="s">
        <v>15</v>
      </c>
      <c r="C9" s="57" t="s">
        <v>14</v>
      </c>
      <c r="D9" s="57" t="s">
        <v>20</v>
      </c>
      <c r="E9" s="58">
        <v>50</v>
      </c>
      <c r="F9" s="59">
        <v>425000</v>
      </c>
      <c r="G9" s="59">
        <v>500000</v>
      </c>
      <c r="H9" s="70" t="s">
        <v>58</v>
      </c>
    </row>
    <row r="10" spans="2:8" s="60" customFormat="1" ht="19" customHeight="1" x14ac:dyDescent="0.35">
      <c r="B10" s="61" t="s">
        <v>22</v>
      </c>
      <c r="C10" s="62" t="s">
        <v>18</v>
      </c>
      <c r="D10" s="62" t="s">
        <v>16</v>
      </c>
      <c r="E10" s="63">
        <v>12</v>
      </c>
      <c r="F10" s="64">
        <v>540000</v>
      </c>
      <c r="G10" s="64">
        <v>600000</v>
      </c>
      <c r="H10" s="70" t="s">
        <v>58</v>
      </c>
    </row>
    <row r="11" spans="2:8" s="60" customFormat="1" ht="19" customHeight="1" x14ac:dyDescent="0.35">
      <c r="B11" s="56" t="s">
        <v>26</v>
      </c>
      <c r="C11" s="57" t="s">
        <v>21</v>
      </c>
      <c r="D11" s="57" t="s">
        <v>20</v>
      </c>
      <c r="E11" s="58">
        <v>25</v>
      </c>
      <c r="F11" s="59">
        <v>212500</v>
      </c>
      <c r="G11" s="59">
        <v>250000</v>
      </c>
      <c r="H11" s="70" t="s">
        <v>58</v>
      </c>
    </row>
    <row r="12" spans="2:8" s="60" customFormat="1" ht="19" customHeight="1" x14ac:dyDescent="0.35">
      <c r="B12" s="61" t="s">
        <v>15</v>
      </c>
      <c r="C12" s="62" t="s">
        <v>25</v>
      </c>
      <c r="D12" s="62" t="s">
        <v>23</v>
      </c>
      <c r="E12" s="63">
        <v>200</v>
      </c>
      <c r="F12" s="64">
        <v>240000</v>
      </c>
      <c r="G12" s="64">
        <v>300000</v>
      </c>
      <c r="H12" s="70" t="s">
        <v>58</v>
      </c>
    </row>
    <row r="13" spans="2:8" s="60" customFormat="1" ht="19" customHeight="1" x14ac:dyDescent="0.35">
      <c r="B13" s="56" t="s">
        <v>19</v>
      </c>
      <c r="C13" s="57" t="s">
        <v>27</v>
      </c>
      <c r="D13" s="57" t="s">
        <v>16</v>
      </c>
      <c r="E13" s="58">
        <v>20</v>
      </c>
      <c r="F13" s="59">
        <v>900000</v>
      </c>
      <c r="G13" s="59">
        <v>900000</v>
      </c>
      <c r="H13" s="71" t="s">
        <v>59</v>
      </c>
    </row>
    <row r="14" spans="2:8" s="60" customFormat="1" ht="19" customHeight="1" x14ac:dyDescent="0.35">
      <c r="B14" s="61" t="s">
        <v>15</v>
      </c>
      <c r="C14" s="62" t="s">
        <v>14</v>
      </c>
      <c r="D14" s="62" t="s">
        <v>23</v>
      </c>
      <c r="E14" s="63">
        <v>150</v>
      </c>
      <c r="F14" s="64">
        <v>180000</v>
      </c>
      <c r="G14" s="64">
        <v>200000</v>
      </c>
      <c r="H14" s="70" t="s">
        <v>58</v>
      </c>
    </row>
    <row r="15" spans="2:8" s="60" customFormat="1" ht="19" customHeight="1" x14ac:dyDescent="0.35">
      <c r="B15" s="56" t="s">
        <v>26</v>
      </c>
      <c r="C15" s="57" t="s">
        <v>18</v>
      </c>
      <c r="D15" s="57" t="s">
        <v>20</v>
      </c>
      <c r="E15" s="58">
        <v>18</v>
      </c>
      <c r="F15" s="59">
        <v>153000</v>
      </c>
      <c r="G15" s="59">
        <v>180000</v>
      </c>
      <c r="H15" s="70" t="s">
        <v>58</v>
      </c>
    </row>
    <row r="16" spans="2:8" s="60" customFormat="1" ht="19" customHeight="1" x14ac:dyDescent="0.35">
      <c r="B16" s="61" t="s">
        <v>22</v>
      </c>
      <c r="C16" s="62" t="s">
        <v>21</v>
      </c>
      <c r="D16" s="62" t="s">
        <v>16</v>
      </c>
      <c r="E16" s="63">
        <v>10</v>
      </c>
      <c r="F16" s="64">
        <v>450000</v>
      </c>
      <c r="G16" s="64">
        <v>500000</v>
      </c>
      <c r="H16" s="70" t="s">
        <v>58</v>
      </c>
    </row>
    <row r="17" spans="2:8" s="60" customFormat="1" ht="19" customHeight="1" x14ac:dyDescent="0.35">
      <c r="B17" s="56" t="s">
        <v>19</v>
      </c>
      <c r="C17" s="57" t="s">
        <v>25</v>
      </c>
      <c r="D17" s="57" t="s">
        <v>20</v>
      </c>
      <c r="E17" s="58">
        <v>40</v>
      </c>
      <c r="F17" s="59">
        <v>340000</v>
      </c>
      <c r="G17" s="59">
        <v>380000</v>
      </c>
      <c r="H17" s="70" t="s">
        <v>58</v>
      </c>
    </row>
    <row r="18" spans="2:8" s="60" customFormat="1" ht="19" customHeight="1" x14ac:dyDescent="0.35">
      <c r="B18" s="61" t="s">
        <v>26</v>
      </c>
      <c r="C18" s="62" t="s">
        <v>27</v>
      </c>
      <c r="D18" s="62" t="s">
        <v>23</v>
      </c>
      <c r="E18" s="63">
        <v>60</v>
      </c>
      <c r="F18" s="64">
        <v>72000</v>
      </c>
      <c r="G18" s="64">
        <v>100000</v>
      </c>
      <c r="H18" s="70" t="s">
        <v>58</v>
      </c>
    </row>
    <row r="19" spans="2:8" s="60" customFormat="1" ht="19" customHeight="1" x14ac:dyDescent="0.35">
      <c r="B19" s="56" t="s">
        <v>15</v>
      </c>
      <c r="C19" s="57" t="s">
        <v>14</v>
      </c>
      <c r="D19" s="57" t="s">
        <v>16</v>
      </c>
      <c r="E19" s="58">
        <v>22</v>
      </c>
      <c r="F19" s="59">
        <v>990000</v>
      </c>
      <c r="G19" s="59">
        <v>1000000</v>
      </c>
      <c r="H19" s="70" t="s">
        <v>58</v>
      </c>
    </row>
    <row r="20" spans="2:8" s="60" customFormat="1" ht="19" customHeight="1" x14ac:dyDescent="0.35">
      <c r="B20" s="61" t="s">
        <v>19</v>
      </c>
      <c r="C20" s="62" t="s">
        <v>18</v>
      </c>
      <c r="D20" s="62" t="s">
        <v>23</v>
      </c>
      <c r="E20" s="63">
        <v>90</v>
      </c>
      <c r="F20" s="64">
        <v>108000</v>
      </c>
      <c r="G20" s="64">
        <v>120000</v>
      </c>
      <c r="H20" s="70" t="s">
        <v>58</v>
      </c>
    </row>
    <row r="21" spans="2:8" s="60" customFormat="1" ht="19" customHeight="1" x14ac:dyDescent="0.35">
      <c r="B21" s="56" t="s">
        <v>15</v>
      </c>
      <c r="C21" s="57" t="s">
        <v>21</v>
      </c>
      <c r="D21" s="57" t="s">
        <v>20</v>
      </c>
      <c r="E21" s="58">
        <v>35</v>
      </c>
      <c r="F21" s="59">
        <v>297500</v>
      </c>
      <c r="G21" s="59">
        <v>350000</v>
      </c>
      <c r="H21" s="70" t="s">
        <v>58</v>
      </c>
    </row>
    <row r="22" spans="2:8" s="60" customFormat="1" ht="19" customHeight="1" x14ac:dyDescent="0.35">
      <c r="B22" s="61" t="s">
        <v>22</v>
      </c>
      <c r="C22" s="62" t="s">
        <v>25</v>
      </c>
      <c r="D22" s="62" t="s">
        <v>16</v>
      </c>
      <c r="E22" s="63">
        <v>14</v>
      </c>
      <c r="F22" s="64">
        <v>630000</v>
      </c>
      <c r="G22" s="64">
        <v>650000</v>
      </c>
      <c r="H22" s="70" t="s">
        <v>58</v>
      </c>
    </row>
    <row r="23" spans="2:8" s="60" customFormat="1" ht="19" customHeight="1" x14ac:dyDescent="0.35">
      <c r="B23" s="56" t="s">
        <v>26</v>
      </c>
      <c r="C23" s="57" t="s">
        <v>27</v>
      </c>
      <c r="D23" s="57" t="s">
        <v>20</v>
      </c>
      <c r="E23" s="58">
        <v>28</v>
      </c>
      <c r="F23" s="59">
        <v>238000</v>
      </c>
      <c r="G23" s="59">
        <v>280000</v>
      </c>
      <c r="H23" s="70" t="s">
        <v>58</v>
      </c>
    </row>
    <row r="24" spans="2:8" s="60" customFormat="1" x14ac:dyDescent="0.35"/>
    <row r="25" spans="2:8" s="60" customFormat="1" x14ac:dyDescent="0.35"/>
    <row r="26" spans="2:8" s="60" customFormat="1" x14ac:dyDescent="0.35"/>
    <row r="27" spans="2:8" s="60" customFormat="1" x14ac:dyDescent="0.35"/>
    <row r="28" spans="2:8" s="60" customFormat="1" x14ac:dyDescent="0.35"/>
    <row r="29" spans="2:8" s="60" customFormat="1" x14ac:dyDescent="0.35"/>
    <row r="30" spans="2:8" s="60" customFormat="1" x14ac:dyDescent="0.35"/>
    <row r="31" spans="2:8" s="60" customFormat="1" x14ac:dyDescent="0.35"/>
    <row r="32" spans="2:8" s="60" customFormat="1" x14ac:dyDescent="0.35"/>
    <row r="33" s="60" customFormat="1" x14ac:dyDescent="0.35"/>
    <row r="34" s="60" customFormat="1" x14ac:dyDescent="0.35"/>
    <row r="35" s="60" customFormat="1" x14ac:dyDescent="0.35"/>
    <row r="36" s="60" customFormat="1" x14ac:dyDescent="0.35"/>
    <row r="37" s="60" customFormat="1" x14ac:dyDescent="0.35"/>
    <row r="38" s="60" customFormat="1" x14ac:dyDescent="0.35"/>
    <row r="39" s="60" customFormat="1" x14ac:dyDescent="0.35"/>
    <row r="40" s="60" customFormat="1" x14ac:dyDescent="0.35"/>
    <row r="41" s="60" customFormat="1" x14ac:dyDescent="0.35"/>
    <row r="42" s="60" customFormat="1" x14ac:dyDescent="0.35"/>
    <row r="43" s="60" customFormat="1" x14ac:dyDescent="0.35"/>
    <row r="44" s="60" customFormat="1" x14ac:dyDescent="0.35"/>
    <row r="45" s="60" customFormat="1" x14ac:dyDescent="0.35"/>
    <row r="46" s="60" customFormat="1" x14ac:dyDescent="0.35"/>
    <row r="47" s="60" customFormat="1" x14ac:dyDescent="0.35"/>
    <row r="48" s="60" customFormat="1" x14ac:dyDescent="0.35"/>
    <row r="49" s="60" customFormat="1" x14ac:dyDescent="0.35"/>
    <row r="50" s="60" customFormat="1" x14ac:dyDescent="0.35"/>
    <row r="51" s="60" customFormat="1" x14ac:dyDescent="0.35"/>
    <row r="52" s="60" customFormat="1" x14ac:dyDescent="0.35"/>
    <row r="53" s="60" customFormat="1" x14ac:dyDescent="0.35"/>
    <row r="54" s="60" customFormat="1" x14ac:dyDescent="0.35"/>
    <row r="55" s="60" customFormat="1" x14ac:dyDescent="0.35"/>
    <row r="56" s="60" customFormat="1" x14ac:dyDescent="0.35"/>
    <row r="57" s="60" customFormat="1" x14ac:dyDescent="0.35"/>
    <row r="58" s="60" customFormat="1" x14ac:dyDescent="0.35"/>
    <row r="59" s="60" customFormat="1" x14ac:dyDescent="0.35"/>
    <row r="60" s="60" customFormat="1" x14ac:dyDescent="0.35"/>
    <row r="61" s="60" customFormat="1" x14ac:dyDescent="0.35"/>
    <row r="62" s="60" customFormat="1" x14ac:dyDescent="0.35"/>
    <row r="63" s="60" customFormat="1" x14ac:dyDescent="0.35"/>
    <row r="64" s="60" customFormat="1" x14ac:dyDescent="0.35"/>
    <row r="65" s="60" customFormat="1" x14ac:dyDescent="0.35"/>
    <row r="66" s="60" customFormat="1" x14ac:dyDescent="0.35"/>
    <row r="67" s="60" customFormat="1" x14ac:dyDescent="0.35"/>
    <row r="68" s="60" customFormat="1" x14ac:dyDescent="0.35"/>
    <row r="69" s="60" customFormat="1" x14ac:dyDescent="0.35"/>
    <row r="70" s="60" customFormat="1" x14ac:dyDescent="0.35"/>
    <row r="71" s="60" customFormat="1" x14ac:dyDescent="0.35"/>
    <row r="72" s="60" customFormat="1" x14ac:dyDescent="0.35"/>
    <row r="73" s="60" customFormat="1" x14ac:dyDescent="0.35"/>
    <row r="74" s="60" customFormat="1" x14ac:dyDescent="0.35"/>
    <row r="75" s="60" customFormat="1" x14ac:dyDescent="0.35"/>
    <row r="76" s="60" customFormat="1" x14ac:dyDescent="0.35"/>
    <row r="77" s="60" customFormat="1" x14ac:dyDescent="0.35"/>
    <row r="78" s="60" customFormat="1" x14ac:dyDescent="0.35"/>
    <row r="79" s="60" customFormat="1" x14ac:dyDescent="0.35"/>
    <row r="80" s="60" customFormat="1" x14ac:dyDescent="0.35"/>
    <row r="81" s="60" customFormat="1" x14ac:dyDescent="0.35"/>
    <row r="82" s="60" customFormat="1" x14ac:dyDescent="0.35"/>
    <row r="83" s="60" customFormat="1" x14ac:dyDescent="0.35"/>
    <row r="84" s="60" customFormat="1" x14ac:dyDescent="0.35"/>
    <row r="85" s="60" customFormat="1" x14ac:dyDescent="0.35"/>
    <row r="86" s="60" customFormat="1" x14ac:dyDescent="0.35"/>
    <row r="87" s="60" customFormat="1" x14ac:dyDescent="0.35"/>
    <row r="88" s="60" customFormat="1" x14ac:dyDescent="0.35"/>
    <row r="89" s="60" customFormat="1" x14ac:dyDescent="0.35"/>
    <row r="90" s="60" customFormat="1" x14ac:dyDescent="0.35"/>
    <row r="91" s="60" customFormat="1" x14ac:dyDescent="0.35"/>
    <row r="92" s="60" customFormat="1" x14ac:dyDescent="0.35"/>
    <row r="93" s="60" customFormat="1" x14ac:dyDescent="0.35"/>
    <row r="94" s="60" customFormat="1" x14ac:dyDescent="0.35"/>
    <row r="95" s="60" customFormat="1" x14ac:dyDescent="0.35"/>
    <row r="96" s="60" customFormat="1" x14ac:dyDescent="0.35"/>
    <row r="97" s="60" customFormat="1" x14ac:dyDescent="0.35"/>
    <row r="98" s="60" customFormat="1" x14ac:dyDescent="0.35"/>
    <row r="99" s="60" customFormat="1" x14ac:dyDescent="0.35"/>
    <row r="100" s="60" customFormat="1" x14ac:dyDescent="0.35"/>
    <row r="101" s="60" customFormat="1" x14ac:dyDescent="0.35"/>
    <row r="102" s="60" customFormat="1" x14ac:dyDescent="0.35"/>
    <row r="103" s="60" customFormat="1" x14ac:dyDescent="0.35"/>
    <row r="104" s="60" customFormat="1" x14ac:dyDescent="0.35"/>
    <row r="105" s="60" customFormat="1" x14ac:dyDescent="0.35"/>
    <row r="106" s="60" customFormat="1" x14ac:dyDescent="0.35"/>
    <row r="107" s="60" customFormat="1" x14ac:dyDescent="0.35"/>
    <row r="108" s="60" customFormat="1" x14ac:dyDescent="0.35"/>
    <row r="109" s="60" customFormat="1" x14ac:dyDescent="0.35"/>
    <row r="110" s="60" customFormat="1" x14ac:dyDescent="0.35"/>
    <row r="111" s="60" customFormat="1" x14ac:dyDescent="0.35"/>
    <row r="112" s="60" customFormat="1" x14ac:dyDescent="0.35"/>
    <row r="113" s="60" customFormat="1" x14ac:dyDescent="0.35"/>
    <row r="114" s="60" customFormat="1" x14ac:dyDescent="0.35"/>
    <row r="115" s="60" customFormat="1" x14ac:dyDescent="0.35"/>
    <row r="116" s="60" customFormat="1" x14ac:dyDescent="0.35"/>
    <row r="117" s="60" customFormat="1" x14ac:dyDescent="0.35"/>
    <row r="118" s="60" customFormat="1" x14ac:dyDescent="0.35"/>
    <row r="119" s="60" customFormat="1" x14ac:dyDescent="0.35"/>
    <row r="120" s="60" customFormat="1" x14ac:dyDescent="0.35"/>
    <row r="121" s="60" customFormat="1" x14ac:dyDescent="0.35"/>
    <row r="122" s="60" customFormat="1" x14ac:dyDescent="0.35"/>
    <row r="123" s="60" customFormat="1" x14ac:dyDescent="0.35"/>
    <row r="124" s="60" customFormat="1" x14ac:dyDescent="0.35"/>
    <row r="125" s="60" customFormat="1" x14ac:dyDescent="0.35"/>
    <row r="126" s="60" customFormat="1" x14ac:dyDescent="0.35"/>
    <row r="127" s="60" customFormat="1" x14ac:dyDescent="0.35"/>
    <row r="128" s="60" customFormat="1" x14ac:dyDescent="0.35"/>
    <row r="129" s="60" customFormat="1" x14ac:dyDescent="0.35"/>
    <row r="130" s="60" customFormat="1" x14ac:dyDescent="0.35"/>
    <row r="131" s="60" customFormat="1" x14ac:dyDescent="0.35"/>
    <row r="132" s="60" customFormat="1" x14ac:dyDescent="0.35"/>
    <row r="133" s="60" customFormat="1" x14ac:dyDescent="0.35"/>
    <row r="134" s="60" customFormat="1" x14ac:dyDescent="0.35"/>
    <row r="135" s="60" customFormat="1" x14ac:dyDescent="0.35"/>
    <row r="136" s="60" customFormat="1" x14ac:dyDescent="0.35"/>
    <row r="137" s="60" customFormat="1" x14ac:dyDescent="0.35"/>
    <row r="138" s="60" customFormat="1" x14ac:dyDescent="0.35"/>
    <row r="139" s="60" customFormat="1" x14ac:dyDescent="0.35"/>
    <row r="140" s="60" customFormat="1" x14ac:dyDescent="0.35"/>
    <row r="141" s="60" customFormat="1" x14ac:dyDescent="0.35"/>
    <row r="142" s="60" customFormat="1" x14ac:dyDescent="0.35"/>
    <row r="143" s="60" customFormat="1" x14ac:dyDescent="0.35"/>
    <row r="144" s="60" customFormat="1" x14ac:dyDescent="0.35"/>
    <row r="145" s="60" customFormat="1" x14ac:dyDescent="0.35"/>
    <row r="146" s="60" customFormat="1" x14ac:dyDescent="0.35"/>
    <row r="147" s="60" customFormat="1" x14ac:dyDescent="0.35"/>
    <row r="148" s="60" customFormat="1" x14ac:dyDescent="0.35"/>
    <row r="149" s="60" customFormat="1" x14ac:dyDescent="0.35"/>
    <row r="150" s="60" customFormat="1" x14ac:dyDescent="0.35"/>
    <row r="151" s="60" customFormat="1" x14ac:dyDescent="0.35"/>
    <row r="152" s="60" customFormat="1" x14ac:dyDescent="0.35"/>
    <row r="153" s="60" customFormat="1" x14ac:dyDescent="0.35"/>
    <row r="154" s="60" customFormat="1" x14ac:dyDescent="0.35"/>
    <row r="155" s="60" customFormat="1" x14ac:dyDescent="0.35"/>
    <row r="156" s="60" customFormat="1" x14ac:dyDescent="0.35"/>
    <row r="157" s="60" customFormat="1" x14ac:dyDescent="0.35"/>
    <row r="158" s="60" customFormat="1" x14ac:dyDescent="0.35"/>
    <row r="159" s="60" customFormat="1" x14ac:dyDescent="0.35"/>
    <row r="160" s="60" customFormat="1" x14ac:dyDescent="0.35"/>
    <row r="161" s="60" customFormat="1" x14ac:dyDescent="0.35"/>
    <row r="162" s="60" customFormat="1" x14ac:dyDescent="0.35"/>
    <row r="163" s="60" customFormat="1" x14ac:dyDescent="0.35"/>
    <row r="164" s="60" customFormat="1" x14ac:dyDescent="0.35"/>
    <row r="165" s="60" customFormat="1" x14ac:dyDescent="0.35"/>
    <row r="166" s="60" customFormat="1" x14ac:dyDescent="0.35"/>
    <row r="167" s="60" customFormat="1" x14ac:dyDescent="0.35"/>
    <row r="168" s="60" customFormat="1" x14ac:dyDescent="0.35"/>
    <row r="169" s="60" customFormat="1" x14ac:dyDescent="0.35"/>
    <row r="170" s="60" customFormat="1" x14ac:dyDescent="0.35"/>
    <row r="171" s="60" customFormat="1" x14ac:dyDescent="0.35"/>
    <row r="172" s="60" customFormat="1" x14ac:dyDescent="0.35"/>
    <row r="173" s="60" customFormat="1" x14ac:dyDescent="0.35"/>
    <row r="174" s="60" customFormat="1" x14ac:dyDescent="0.35"/>
    <row r="175" s="60" customFormat="1" x14ac:dyDescent="0.35"/>
    <row r="176" s="60" customFormat="1" x14ac:dyDescent="0.35"/>
    <row r="177" s="60" customFormat="1" x14ac:dyDescent="0.35"/>
    <row r="178" s="60" customFormat="1" x14ac:dyDescent="0.35"/>
    <row r="179" s="60" customFormat="1" x14ac:dyDescent="0.35"/>
    <row r="180" s="60" customFormat="1" x14ac:dyDescent="0.35"/>
    <row r="181" s="60" customFormat="1" x14ac:dyDescent="0.35"/>
    <row r="182" s="60" customFormat="1" x14ac:dyDescent="0.35"/>
    <row r="183" s="60" customFormat="1" x14ac:dyDescent="0.35"/>
    <row r="184" s="60" customFormat="1" x14ac:dyDescent="0.35"/>
    <row r="185" s="60" customFormat="1" x14ac:dyDescent="0.35"/>
    <row r="186" s="60" customFormat="1" x14ac:dyDescent="0.35"/>
    <row r="187" s="60" customFormat="1" x14ac:dyDescent="0.35"/>
    <row r="188" s="60" customFormat="1" x14ac:dyDescent="0.35"/>
    <row r="189" s="60" customFormat="1" x14ac:dyDescent="0.35"/>
    <row r="190" s="60" customFormat="1" x14ac:dyDescent="0.35"/>
    <row r="191" s="60" customFormat="1" x14ac:dyDescent="0.35"/>
    <row r="192" s="60" customFormat="1" x14ac:dyDescent="0.35"/>
    <row r="193" s="60" customFormat="1" x14ac:dyDescent="0.35"/>
    <row r="194" s="60" customFormat="1" x14ac:dyDescent="0.35"/>
    <row r="195" s="60" customFormat="1" x14ac:dyDescent="0.35"/>
    <row r="196" s="60" customFormat="1" x14ac:dyDescent="0.35"/>
    <row r="197" s="60" customFormat="1" x14ac:dyDescent="0.35"/>
    <row r="198" s="60" customFormat="1" x14ac:dyDescent="0.35"/>
    <row r="199" s="60" customFormat="1" x14ac:dyDescent="0.35"/>
    <row r="200" s="60" customFormat="1" x14ac:dyDescent="0.35"/>
    <row r="201" s="60" customFormat="1" x14ac:dyDescent="0.35"/>
    <row r="202" s="60" customFormat="1" x14ac:dyDescent="0.35"/>
    <row r="203" s="60" customFormat="1" x14ac:dyDescent="0.35"/>
    <row r="204" s="60" customFormat="1" x14ac:dyDescent="0.35"/>
    <row r="205" s="60" customFormat="1" x14ac:dyDescent="0.35"/>
    <row r="206" s="60" customFormat="1" x14ac:dyDescent="0.35"/>
    <row r="207" s="60" customFormat="1" x14ac:dyDescent="0.35"/>
    <row r="208" s="60" customFormat="1" x14ac:dyDescent="0.35"/>
    <row r="209" s="60" customFormat="1" x14ac:dyDescent="0.35"/>
    <row r="210" s="60" customFormat="1" x14ac:dyDescent="0.35"/>
    <row r="211" s="60" customFormat="1" x14ac:dyDescent="0.35"/>
    <row r="212" s="60" customFormat="1" x14ac:dyDescent="0.35"/>
    <row r="213" s="60" customFormat="1" x14ac:dyDescent="0.35"/>
    <row r="214" s="60" customFormat="1" x14ac:dyDescent="0.35"/>
    <row r="215" s="60" customFormat="1" x14ac:dyDescent="0.35"/>
    <row r="216" s="60" customFormat="1" x14ac:dyDescent="0.35"/>
    <row r="217" s="60" customFormat="1" x14ac:dyDescent="0.35"/>
    <row r="218" s="60" customFormat="1" x14ac:dyDescent="0.35"/>
    <row r="219" s="60" customFormat="1" x14ac:dyDescent="0.35"/>
    <row r="220" s="60" customFormat="1" x14ac:dyDescent="0.35"/>
    <row r="221" s="60" customFormat="1" x14ac:dyDescent="0.35"/>
    <row r="222" s="60" customFormat="1" x14ac:dyDescent="0.35"/>
    <row r="223" s="60" customFormat="1" x14ac:dyDescent="0.35"/>
    <row r="224" s="60" customFormat="1" x14ac:dyDescent="0.35"/>
    <row r="225" s="60" customFormat="1" x14ac:dyDescent="0.35"/>
    <row r="226" s="60" customFormat="1" x14ac:dyDescent="0.35"/>
    <row r="227" s="60" customFormat="1" x14ac:dyDescent="0.35"/>
    <row r="228" s="60" customFormat="1" x14ac:dyDescent="0.35"/>
    <row r="229" s="60" customFormat="1" x14ac:dyDescent="0.35"/>
    <row r="230" s="60" customFormat="1" x14ac:dyDescent="0.35"/>
    <row r="231" s="60" customFormat="1" x14ac:dyDescent="0.35"/>
    <row r="232" s="60" customFormat="1" x14ac:dyDescent="0.35"/>
    <row r="233" s="60" customFormat="1" x14ac:dyDescent="0.35"/>
    <row r="234" s="60" customFormat="1" x14ac:dyDescent="0.35"/>
    <row r="235" s="60" customFormat="1" x14ac:dyDescent="0.35"/>
    <row r="236" s="60" customFormat="1" x14ac:dyDescent="0.35"/>
    <row r="237" s="60" customFormat="1" x14ac:dyDescent="0.35"/>
    <row r="238" s="60" customFormat="1" x14ac:dyDescent="0.35"/>
    <row r="239" s="60" customFormat="1" x14ac:dyDescent="0.35"/>
    <row r="240" s="60" customFormat="1" x14ac:dyDescent="0.35"/>
    <row r="241" s="60" customFormat="1" x14ac:dyDescent="0.35"/>
    <row r="242" s="60" customFormat="1" x14ac:dyDescent="0.35"/>
    <row r="243" s="60" customFormat="1" x14ac:dyDescent="0.35"/>
    <row r="244" s="60" customFormat="1" x14ac:dyDescent="0.35"/>
    <row r="245" s="60" customFormat="1" x14ac:dyDescent="0.35"/>
    <row r="246" s="60" customFormat="1" x14ac:dyDescent="0.35"/>
    <row r="247" s="60" customFormat="1" x14ac:dyDescent="0.35"/>
    <row r="248" s="60" customFormat="1" x14ac:dyDescent="0.35"/>
    <row r="249" s="60" customFormat="1" x14ac:dyDescent="0.35"/>
    <row r="250" s="60" customFormat="1" x14ac:dyDescent="0.35"/>
    <row r="251" s="60" customFormat="1" x14ac:dyDescent="0.35"/>
    <row r="252" s="60" customFormat="1" x14ac:dyDescent="0.35"/>
    <row r="253" s="60" customFormat="1" x14ac:dyDescent="0.35"/>
    <row r="254" s="60" customFormat="1" x14ac:dyDescent="0.35"/>
    <row r="255" s="60" customFormat="1" x14ac:dyDescent="0.35"/>
    <row r="256" s="60" customFormat="1" x14ac:dyDescent="0.35"/>
    <row r="257" s="60" customFormat="1" x14ac:dyDescent="0.35"/>
    <row r="258" s="60" customFormat="1" x14ac:dyDescent="0.35"/>
    <row r="259" s="60" customFormat="1" x14ac:dyDescent="0.35"/>
    <row r="260" s="60" customFormat="1" x14ac:dyDescent="0.35"/>
    <row r="261" s="60" customFormat="1" x14ac:dyDescent="0.35"/>
    <row r="262" s="60" customFormat="1" x14ac:dyDescent="0.35"/>
    <row r="263" s="60" customFormat="1" x14ac:dyDescent="0.35"/>
    <row r="264" s="60" customFormat="1" x14ac:dyDescent="0.35"/>
    <row r="265" s="60" customFormat="1" x14ac:dyDescent="0.35"/>
    <row r="266" s="60" customFormat="1" x14ac:dyDescent="0.35"/>
    <row r="267" s="60" customFormat="1" x14ac:dyDescent="0.35"/>
    <row r="268" s="60" customFormat="1" x14ac:dyDescent="0.35"/>
    <row r="269" s="60" customFormat="1" x14ac:dyDescent="0.35"/>
    <row r="270" s="60" customFormat="1" x14ac:dyDescent="0.35"/>
    <row r="271" s="60" customFormat="1" x14ac:dyDescent="0.35"/>
    <row r="272" s="60" customFormat="1" x14ac:dyDescent="0.35"/>
    <row r="273" s="60" customFormat="1" x14ac:dyDescent="0.35"/>
    <row r="274" s="60" customFormat="1" x14ac:dyDescent="0.35"/>
    <row r="275" s="60" customFormat="1" x14ac:dyDescent="0.35"/>
    <row r="276" s="60" customFormat="1" x14ac:dyDescent="0.35"/>
    <row r="277" s="60" customFormat="1" x14ac:dyDescent="0.35"/>
    <row r="278" s="60" customFormat="1" x14ac:dyDescent="0.35"/>
    <row r="279" s="60" customFormat="1" x14ac:dyDescent="0.35"/>
    <row r="280" s="60" customFormat="1" x14ac:dyDescent="0.35"/>
    <row r="281" s="60" customFormat="1" x14ac:dyDescent="0.35"/>
    <row r="282" s="60" customFormat="1" x14ac:dyDescent="0.35"/>
    <row r="283" s="60" customFormat="1" x14ac:dyDescent="0.35"/>
    <row r="284" s="60" customFormat="1" x14ac:dyDescent="0.35"/>
    <row r="285" s="60" customFormat="1" x14ac:dyDescent="0.35"/>
    <row r="286" s="60" customFormat="1" x14ac:dyDescent="0.35"/>
    <row r="287" s="60" customFormat="1" x14ac:dyDescent="0.35"/>
    <row r="288" s="60" customFormat="1" x14ac:dyDescent="0.35"/>
    <row r="289" s="60" customFormat="1" x14ac:dyDescent="0.35"/>
    <row r="290" s="60" customFormat="1" x14ac:dyDescent="0.35"/>
    <row r="291" s="60" customFormat="1" x14ac:dyDescent="0.35"/>
    <row r="292" s="60" customFormat="1" x14ac:dyDescent="0.35"/>
    <row r="293" s="60" customFormat="1" x14ac:dyDescent="0.35"/>
    <row r="294" s="60" customFormat="1" x14ac:dyDescent="0.35"/>
    <row r="295" s="60" customFormat="1" x14ac:dyDescent="0.35"/>
    <row r="296" s="60" customFormat="1" x14ac:dyDescent="0.35"/>
    <row r="297" s="60" customFormat="1" x14ac:dyDescent="0.35"/>
    <row r="298" s="60" customFormat="1" x14ac:dyDescent="0.35"/>
    <row r="299" s="60" customFormat="1" x14ac:dyDescent="0.35"/>
    <row r="300" s="60" customFormat="1" x14ac:dyDescent="0.35"/>
    <row r="301" s="60" customFormat="1" x14ac:dyDescent="0.35"/>
    <row r="302" s="60" customFormat="1" x14ac:dyDescent="0.35"/>
    <row r="303" s="60" customFormat="1" x14ac:dyDescent="0.35"/>
    <row r="304" s="60" customFormat="1" x14ac:dyDescent="0.35"/>
    <row r="305" s="60" customFormat="1" x14ac:dyDescent="0.35"/>
    <row r="306" s="60" customFormat="1" x14ac:dyDescent="0.35"/>
    <row r="307" s="60" customFormat="1" x14ac:dyDescent="0.35"/>
    <row r="308" s="60" customFormat="1" x14ac:dyDescent="0.35"/>
    <row r="309" s="60" customFormat="1" x14ac:dyDescent="0.35"/>
    <row r="310" s="60" customFormat="1" x14ac:dyDescent="0.35"/>
    <row r="311" s="60" customFormat="1" x14ac:dyDescent="0.35"/>
    <row r="312" s="60" customFormat="1" x14ac:dyDescent="0.35"/>
    <row r="313" s="60" customFormat="1" x14ac:dyDescent="0.35"/>
    <row r="314" s="60" customFormat="1" x14ac:dyDescent="0.35"/>
    <row r="315" s="60" customFormat="1" x14ac:dyDescent="0.35"/>
    <row r="316" s="60" customFormat="1" x14ac:dyDescent="0.35"/>
    <row r="317" s="60" customFormat="1" x14ac:dyDescent="0.35"/>
    <row r="318" s="60" customFormat="1" x14ac:dyDescent="0.35"/>
    <row r="319" s="60" customFormat="1" x14ac:dyDescent="0.35"/>
    <row r="320" s="60" customFormat="1" x14ac:dyDescent="0.35"/>
    <row r="321" s="60" customFormat="1" x14ac:dyDescent="0.35"/>
    <row r="322" s="60" customFormat="1" x14ac:dyDescent="0.35"/>
    <row r="323" s="60" customFormat="1" x14ac:dyDescent="0.35"/>
    <row r="324" s="60" customFormat="1" x14ac:dyDescent="0.35"/>
    <row r="325" s="60" customFormat="1" x14ac:dyDescent="0.35"/>
    <row r="326" s="60" customFormat="1" x14ac:dyDescent="0.35"/>
    <row r="327" s="60" customFormat="1" x14ac:dyDescent="0.35"/>
    <row r="328" s="60" customFormat="1" x14ac:dyDescent="0.35"/>
    <row r="329" s="60" customFormat="1" x14ac:dyDescent="0.35"/>
    <row r="330" s="60" customFormat="1" x14ac:dyDescent="0.35"/>
    <row r="331" s="60" customFormat="1" x14ac:dyDescent="0.35"/>
    <row r="332" s="60" customFormat="1" x14ac:dyDescent="0.35"/>
    <row r="333" s="60" customFormat="1" x14ac:dyDescent="0.35"/>
    <row r="334" s="60" customFormat="1" x14ac:dyDescent="0.35"/>
    <row r="335" s="60" customFormat="1" x14ac:dyDescent="0.35"/>
    <row r="336" s="60" customFormat="1" x14ac:dyDescent="0.35"/>
    <row r="337" s="60" customFormat="1" x14ac:dyDescent="0.35"/>
    <row r="338" s="60" customFormat="1" x14ac:dyDescent="0.35"/>
    <row r="339" s="60" customFormat="1" x14ac:dyDescent="0.35"/>
    <row r="340" s="60" customFormat="1" x14ac:dyDescent="0.35"/>
    <row r="341" s="60" customFormat="1" x14ac:dyDescent="0.35"/>
    <row r="342" s="60" customFormat="1" x14ac:dyDescent="0.35"/>
    <row r="343" s="60" customFormat="1" x14ac:dyDescent="0.35"/>
    <row r="344" s="60" customFormat="1" x14ac:dyDescent="0.35"/>
    <row r="345" s="60" customFormat="1" x14ac:dyDescent="0.35"/>
    <row r="346" s="60" customFormat="1" x14ac:dyDescent="0.35"/>
    <row r="347" s="60" customFormat="1" x14ac:dyDescent="0.35"/>
    <row r="348" s="60" customFormat="1" x14ac:dyDescent="0.35"/>
    <row r="349" s="60" customFormat="1" x14ac:dyDescent="0.35"/>
    <row r="350" s="60" customFormat="1" x14ac:dyDescent="0.35"/>
    <row r="351" s="60" customFormat="1" x14ac:dyDescent="0.35"/>
    <row r="352" s="60" customFormat="1" x14ac:dyDescent="0.35"/>
    <row r="353" s="60" customFormat="1" x14ac:dyDescent="0.35"/>
    <row r="354" s="60" customFormat="1" x14ac:dyDescent="0.35"/>
    <row r="355" s="60" customFormat="1" x14ac:dyDescent="0.35"/>
    <row r="356" s="60" customFormat="1" x14ac:dyDescent="0.35"/>
    <row r="357" s="60" customFormat="1" x14ac:dyDescent="0.35"/>
    <row r="358" s="60" customFormat="1" x14ac:dyDescent="0.35"/>
    <row r="359" s="60" customFormat="1" x14ac:dyDescent="0.35"/>
    <row r="360" s="60" customFormat="1" x14ac:dyDescent="0.35"/>
    <row r="361" s="60" customFormat="1" x14ac:dyDescent="0.35"/>
    <row r="362" s="60" customFormat="1" x14ac:dyDescent="0.35"/>
    <row r="363" s="60" customFormat="1" x14ac:dyDescent="0.35"/>
    <row r="364" s="60" customFormat="1" x14ac:dyDescent="0.35"/>
    <row r="365" s="60" customFormat="1" x14ac:dyDescent="0.35"/>
    <row r="366" s="60" customFormat="1" x14ac:dyDescent="0.35"/>
    <row r="367" s="60" customFormat="1" x14ac:dyDescent="0.35"/>
    <row r="368" s="60" customFormat="1" x14ac:dyDescent="0.35"/>
    <row r="369" s="60" customFormat="1" x14ac:dyDescent="0.35"/>
    <row r="370" s="60" customFormat="1" x14ac:dyDescent="0.35"/>
    <row r="371" s="60" customFormat="1" x14ac:dyDescent="0.35"/>
    <row r="372" s="60" customFormat="1" x14ac:dyDescent="0.35"/>
    <row r="373" s="60" customFormat="1" x14ac:dyDescent="0.35"/>
    <row r="374" s="60" customFormat="1" x14ac:dyDescent="0.35"/>
    <row r="375" s="60" customFormat="1" x14ac:dyDescent="0.35"/>
    <row r="376" s="60" customFormat="1" x14ac:dyDescent="0.35"/>
    <row r="377" s="60" customFormat="1" x14ac:dyDescent="0.35"/>
    <row r="378" s="60" customFormat="1" x14ac:dyDescent="0.35"/>
    <row r="379" s="60" customFormat="1" x14ac:dyDescent="0.35"/>
    <row r="380" s="60" customFormat="1" x14ac:dyDescent="0.35"/>
    <row r="381" s="60" customFormat="1" x14ac:dyDescent="0.35"/>
    <row r="382" s="60" customFormat="1" x14ac:dyDescent="0.35"/>
    <row r="383" s="60" customFormat="1" x14ac:dyDescent="0.35"/>
    <row r="384" s="60" customFormat="1" x14ac:dyDescent="0.35"/>
    <row r="385" s="60" customFormat="1" x14ac:dyDescent="0.35"/>
    <row r="386" s="60" customFormat="1" x14ac:dyDescent="0.35"/>
    <row r="387" s="60" customFormat="1" x14ac:dyDescent="0.35"/>
    <row r="388" s="60" customFormat="1" x14ac:dyDescent="0.35"/>
    <row r="389" s="60" customFormat="1" x14ac:dyDescent="0.35"/>
    <row r="390" s="60" customFormat="1" x14ac:dyDescent="0.35"/>
    <row r="391" s="60" customFormat="1" x14ac:dyDescent="0.35"/>
    <row r="392" s="60" customFormat="1" x14ac:dyDescent="0.35"/>
    <row r="393" s="60" customFormat="1" x14ac:dyDescent="0.35"/>
    <row r="394" s="60" customFormat="1" x14ac:dyDescent="0.35"/>
    <row r="395" s="60" customFormat="1" x14ac:dyDescent="0.35"/>
    <row r="396" s="60" customFormat="1" x14ac:dyDescent="0.35"/>
    <row r="397" s="60" customFormat="1" x14ac:dyDescent="0.35"/>
    <row r="398" s="60" customFormat="1" x14ac:dyDescent="0.35"/>
    <row r="399" s="60" customFormat="1" x14ac:dyDescent="0.35"/>
    <row r="400" s="60" customFormat="1" x14ac:dyDescent="0.35"/>
    <row r="401" s="60" customFormat="1" x14ac:dyDescent="0.35"/>
    <row r="402" s="60" customFormat="1" x14ac:dyDescent="0.35"/>
    <row r="403" s="60" customFormat="1" x14ac:dyDescent="0.35"/>
    <row r="404" s="60" customFormat="1" x14ac:dyDescent="0.35"/>
    <row r="405" s="60" customFormat="1" x14ac:dyDescent="0.35"/>
    <row r="406" s="60" customFormat="1" x14ac:dyDescent="0.35"/>
    <row r="407" s="60" customFormat="1" x14ac:dyDescent="0.35"/>
    <row r="408" s="60" customFormat="1" x14ac:dyDescent="0.35"/>
    <row r="409" s="60" customFormat="1" x14ac:dyDescent="0.35"/>
    <row r="410" s="60" customFormat="1" x14ac:dyDescent="0.35"/>
    <row r="411" s="60" customFormat="1" x14ac:dyDescent="0.35"/>
    <row r="412" s="60" customFormat="1" x14ac:dyDescent="0.35"/>
    <row r="413" s="60" customFormat="1" x14ac:dyDescent="0.35"/>
    <row r="414" s="60" customFormat="1" x14ac:dyDescent="0.35"/>
    <row r="415" s="60" customFormat="1" x14ac:dyDescent="0.35"/>
    <row r="416" s="60" customFormat="1" x14ac:dyDescent="0.35"/>
    <row r="417" s="60" customFormat="1" x14ac:dyDescent="0.35"/>
    <row r="418" s="60" customFormat="1" x14ac:dyDescent="0.35"/>
    <row r="419" s="60" customFormat="1" x14ac:dyDescent="0.35"/>
    <row r="420" s="60" customFormat="1" x14ac:dyDescent="0.35"/>
    <row r="421" s="60" customFormat="1" x14ac:dyDescent="0.35"/>
    <row r="422" s="60" customFormat="1" x14ac:dyDescent="0.35"/>
    <row r="423" s="60" customFormat="1" x14ac:dyDescent="0.35"/>
    <row r="424" s="60" customFormat="1" x14ac:dyDescent="0.35"/>
    <row r="425" s="60" customFormat="1" x14ac:dyDescent="0.35"/>
    <row r="426" s="60" customFormat="1" x14ac:dyDescent="0.35"/>
    <row r="427" s="60" customFormat="1" x14ac:dyDescent="0.35"/>
    <row r="428" s="60" customFormat="1" x14ac:dyDescent="0.35"/>
    <row r="429" s="60" customFormat="1" x14ac:dyDescent="0.35"/>
    <row r="430" s="60" customFormat="1" x14ac:dyDescent="0.35"/>
    <row r="431" s="60" customFormat="1" x14ac:dyDescent="0.35"/>
    <row r="432" s="60" customFormat="1" x14ac:dyDescent="0.35"/>
    <row r="433" s="60" customFormat="1" x14ac:dyDescent="0.35"/>
    <row r="434" s="60" customFormat="1" x14ac:dyDescent="0.35"/>
    <row r="435" s="60" customFormat="1" x14ac:dyDescent="0.35"/>
    <row r="436" s="60" customFormat="1" x14ac:dyDescent="0.35"/>
    <row r="437" s="60" customFormat="1" x14ac:dyDescent="0.35"/>
    <row r="438" s="60" customFormat="1" x14ac:dyDescent="0.35"/>
    <row r="439" s="60" customFormat="1" x14ac:dyDescent="0.35"/>
    <row r="440" s="60" customFormat="1" x14ac:dyDescent="0.35"/>
    <row r="441" s="60" customFormat="1" x14ac:dyDescent="0.35"/>
    <row r="442" s="60" customFormat="1" x14ac:dyDescent="0.35"/>
    <row r="443" s="60" customFormat="1" x14ac:dyDescent="0.35"/>
    <row r="444" s="60" customFormat="1" x14ac:dyDescent="0.35"/>
    <row r="445" s="60" customFormat="1" x14ac:dyDescent="0.35"/>
    <row r="446" s="60" customFormat="1" x14ac:dyDescent="0.35"/>
    <row r="447" s="60" customFormat="1" x14ac:dyDescent="0.35"/>
    <row r="448" s="60" customFormat="1" x14ac:dyDescent="0.35"/>
    <row r="449" s="60" customFormat="1" x14ac:dyDescent="0.35"/>
    <row r="450" s="60" customFormat="1" x14ac:dyDescent="0.35"/>
    <row r="451" s="60" customFormat="1" x14ac:dyDescent="0.35"/>
    <row r="452" s="60" customFormat="1" x14ac:dyDescent="0.35"/>
    <row r="453" s="60" customFormat="1" x14ac:dyDescent="0.35"/>
    <row r="454" s="60" customFormat="1" x14ac:dyDescent="0.35"/>
    <row r="455" s="60" customFormat="1" x14ac:dyDescent="0.35"/>
    <row r="456" s="60" customFormat="1" x14ac:dyDescent="0.35"/>
    <row r="457" s="60" customFormat="1" x14ac:dyDescent="0.35"/>
    <row r="458" s="60" customFormat="1" x14ac:dyDescent="0.35"/>
    <row r="459" s="60" customFormat="1" x14ac:dyDescent="0.35"/>
    <row r="460" s="60" customFormat="1" x14ac:dyDescent="0.35"/>
    <row r="461" s="60" customFormat="1" x14ac:dyDescent="0.35"/>
    <row r="462" s="60" customFormat="1" x14ac:dyDescent="0.35"/>
    <row r="463" s="60" customFormat="1" x14ac:dyDescent="0.35"/>
    <row r="464" s="60" customFormat="1" x14ac:dyDescent="0.35"/>
    <row r="465" s="60" customFormat="1" x14ac:dyDescent="0.35"/>
    <row r="466" s="60" customFormat="1" x14ac:dyDescent="0.35"/>
    <row r="467" s="60" customFormat="1" x14ac:dyDescent="0.35"/>
    <row r="468" s="60" customFormat="1" x14ac:dyDescent="0.35"/>
    <row r="469" s="60" customFormat="1" x14ac:dyDescent="0.35"/>
    <row r="470" s="60" customFormat="1" x14ac:dyDescent="0.35"/>
    <row r="471" s="60" customFormat="1" x14ac:dyDescent="0.35"/>
    <row r="472" s="60" customFormat="1" x14ac:dyDescent="0.35"/>
    <row r="473" s="60" customFormat="1" x14ac:dyDescent="0.35"/>
    <row r="474" s="60" customFormat="1" x14ac:dyDescent="0.35"/>
    <row r="475" s="60" customFormat="1" x14ac:dyDescent="0.35"/>
    <row r="476" s="60" customFormat="1" x14ac:dyDescent="0.35"/>
    <row r="477" s="60" customFormat="1" x14ac:dyDescent="0.35"/>
    <row r="478" s="60" customFormat="1" x14ac:dyDescent="0.35"/>
    <row r="479" s="60" customFormat="1" x14ac:dyDescent="0.35"/>
    <row r="480" s="60" customFormat="1" x14ac:dyDescent="0.35"/>
    <row r="481" s="60" customFormat="1" x14ac:dyDescent="0.35"/>
    <row r="482" s="60" customFormat="1" x14ac:dyDescent="0.35"/>
    <row r="483" s="60" customFormat="1" x14ac:dyDescent="0.35"/>
    <row r="484" s="60" customFormat="1" x14ac:dyDescent="0.35"/>
    <row r="485" s="60" customFormat="1" x14ac:dyDescent="0.35"/>
    <row r="486" s="60" customFormat="1" x14ac:dyDescent="0.35"/>
    <row r="487" s="60" customFormat="1" x14ac:dyDescent="0.35"/>
    <row r="488" s="60" customFormat="1" x14ac:dyDescent="0.35"/>
    <row r="489" s="60" customFormat="1" x14ac:dyDescent="0.35"/>
    <row r="490" s="60" customFormat="1" x14ac:dyDescent="0.35"/>
    <row r="491" s="60" customFormat="1" x14ac:dyDescent="0.35"/>
    <row r="492" s="60" customFormat="1" x14ac:dyDescent="0.35"/>
    <row r="493" s="60" customFormat="1" x14ac:dyDescent="0.35"/>
    <row r="494" s="60" customFormat="1" x14ac:dyDescent="0.35"/>
    <row r="495" s="60" customFormat="1" x14ac:dyDescent="0.35"/>
    <row r="496" s="60" customFormat="1" x14ac:dyDescent="0.35"/>
    <row r="497" s="60" customFormat="1" x14ac:dyDescent="0.35"/>
    <row r="498" s="60" customFormat="1" x14ac:dyDescent="0.35"/>
    <row r="499" s="60" customFormat="1" x14ac:dyDescent="0.35"/>
    <row r="500" s="60" customFormat="1" x14ac:dyDescent="0.35"/>
    <row r="501" s="60" customFormat="1" x14ac:dyDescent="0.35"/>
    <row r="502" s="60" customFormat="1" x14ac:dyDescent="0.35"/>
    <row r="503" s="60" customFormat="1" x14ac:dyDescent="0.35"/>
    <row r="504" s="60" customFormat="1" x14ac:dyDescent="0.35"/>
    <row r="505" s="60" customFormat="1" x14ac:dyDescent="0.35"/>
    <row r="506" s="60" customFormat="1" x14ac:dyDescent="0.35"/>
    <row r="507" s="60" customFormat="1" x14ac:dyDescent="0.35"/>
    <row r="508" s="60" customFormat="1" x14ac:dyDescent="0.35"/>
    <row r="509" s="60" customFormat="1" x14ac:dyDescent="0.35"/>
    <row r="510" s="60" customFormat="1" x14ac:dyDescent="0.35"/>
    <row r="511" s="60" customFormat="1" x14ac:dyDescent="0.35"/>
    <row r="512" s="60" customFormat="1" x14ac:dyDescent="0.35"/>
    <row r="513" s="60" customFormat="1" x14ac:dyDescent="0.35"/>
    <row r="514" s="60" customFormat="1" x14ac:dyDescent="0.35"/>
    <row r="515" s="60" customFormat="1" x14ac:dyDescent="0.35"/>
    <row r="516" s="60" customFormat="1" x14ac:dyDescent="0.35"/>
    <row r="517" s="60" customFormat="1" x14ac:dyDescent="0.35"/>
    <row r="518" s="60" customFormat="1" x14ac:dyDescent="0.35"/>
    <row r="519" s="60" customFormat="1" x14ac:dyDescent="0.35"/>
    <row r="520" s="60" customFormat="1" x14ac:dyDescent="0.35"/>
    <row r="521" s="60" customFormat="1" x14ac:dyDescent="0.35"/>
    <row r="522" s="60" customFormat="1" x14ac:dyDescent="0.35"/>
    <row r="523" s="60" customFormat="1" x14ac:dyDescent="0.35"/>
    <row r="524" s="60" customFormat="1" x14ac:dyDescent="0.35"/>
    <row r="525" s="60" customFormat="1" x14ac:dyDescent="0.35"/>
    <row r="526" s="60" customFormat="1" x14ac:dyDescent="0.35"/>
    <row r="527" s="60" customFormat="1" x14ac:dyDescent="0.35"/>
    <row r="528" s="60" customFormat="1" x14ac:dyDescent="0.35"/>
    <row r="529" s="60" customFormat="1" x14ac:dyDescent="0.35"/>
    <row r="530" s="60" customFormat="1" x14ac:dyDescent="0.35"/>
    <row r="531" s="60" customFormat="1" x14ac:dyDescent="0.35"/>
    <row r="532" s="60" customFormat="1" x14ac:dyDescent="0.35"/>
    <row r="533" s="60" customFormat="1" x14ac:dyDescent="0.35"/>
    <row r="534" s="60" customFormat="1" x14ac:dyDescent="0.35"/>
    <row r="535" s="60" customFormat="1" x14ac:dyDescent="0.35"/>
    <row r="536" s="60" customFormat="1" x14ac:dyDescent="0.35"/>
    <row r="537" s="60" customFormat="1" x14ac:dyDescent="0.35"/>
    <row r="538" s="60" customFormat="1" x14ac:dyDescent="0.35"/>
    <row r="539" s="60" customFormat="1" x14ac:dyDescent="0.35"/>
    <row r="540" s="60" customFormat="1" x14ac:dyDescent="0.35"/>
    <row r="541" s="60" customFormat="1" x14ac:dyDescent="0.35"/>
    <row r="542" s="60" customFormat="1" x14ac:dyDescent="0.35"/>
    <row r="543" s="60" customFormat="1" x14ac:dyDescent="0.35"/>
    <row r="544" s="60" customFormat="1" x14ac:dyDescent="0.35"/>
    <row r="545" s="60" customFormat="1" x14ac:dyDescent="0.35"/>
    <row r="546" s="60" customFormat="1" x14ac:dyDescent="0.35"/>
    <row r="547" s="60" customFormat="1" x14ac:dyDescent="0.35"/>
    <row r="548" s="60" customFormat="1" x14ac:dyDescent="0.35"/>
    <row r="549" s="60" customFormat="1" x14ac:dyDescent="0.35"/>
    <row r="550" s="60" customFormat="1" x14ac:dyDescent="0.35"/>
    <row r="551" s="60" customFormat="1" x14ac:dyDescent="0.35"/>
    <row r="552" s="60" customFormat="1" x14ac:dyDescent="0.35"/>
    <row r="553" s="60" customFormat="1" x14ac:dyDescent="0.35"/>
    <row r="554" s="60" customFormat="1" x14ac:dyDescent="0.35"/>
    <row r="555" s="60" customFormat="1" x14ac:dyDescent="0.35"/>
    <row r="556" s="60" customFormat="1" x14ac:dyDescent="0.35"/>
    <row r="557" s="60" customFormat="1" x14ac:dyDescent="0.35"/>
    <row r="558" s="60" customFormat="1" x14ac:dyDescent="0.35"/>
    <row r="559" s="60" customFormat="1" x14ac:dyDescent="0.35"/>
    <row r="560" s="60" customFormat="1" x14ac:dyDescent="0.35"/>
    <row r="561" s="60" customFormat="1" x14ac:dyDescent="0.35"/>
    <row r="562" s="60" customFormat="1" x14ac:dyDescent="0.35"/>
    <row r="563" s="60" customFormat="1" x14ac:dyDescent="0.35"/>
    <row r="564" s="60" customFormat="1" x14ac:dyDescent="0.35"/>
    <row r="565" s="60" customFormat="1" x14ac:dyDescent="0.35"/>
    <row r="566" s="60" customFormat="1" x14ac:dyDescent="0.35"/>
    <row r="567" s="60" customFormat="1" x14ac:dyDescent="0.35"/>
    <row r="568" s="60" customFormat="1" x14ac:dyDescent="0.35"/>
    <row r="569" s="60" customFormat="1" x14ac:dyDescent="0.35"/>
    <row r="570" s="60" customFormat="1" x14ac:dyDescent="0.35"/>
    <row r="571" s="60" customFormat="1" x14ac:dyDescent="0.35"/>
    <row r="572" s="60" customFormat="1" x14ac:dyDescent="0.35"/>
    <row r="573" s="60" customFormat="1" x14ac:dyDescent="0.35"/>
    <row r="574" s="60" customFormat="1" x14ac:dyDescent="0.35"/>
    <row r="575" s="60" customFormat="1" x14ac:dyDescent="0.35"/>
    <row r="576" s="60" customFormat="1" x14ac:dyDescent="0.35"/>
    <row r="577" s="60" customFormat="1" x14ac:dyDescent="0.35"/>
    <row r="578" s="60" customFormat="1" x14ac:dyDescent="0.35"/>
    <row r="579" s="60" customFormat="1" x14ac:dyDescent="0.35"/>
    <row r="580" s="60" customFormat="1" x14ac:dyDescent="0.35"/>
    <row r="581" s="60" customFormat="1" x14ac:dyDescent="0.35"/>
    <row r="582" s="60" customFormat="1" x14ac:dyDescent="0.35"/>
    <row r="583" s="60" customFormat="1" x14ac:dyDescent="0.35"/>
    <row r="584" s="60" customFormat="1" x14ac:dyDescent="0.35"/>
    <row r="585" s="60" customFormat="1" x14ac:dyDescent="0.35"/>
    <row r="586" s="60" customFormat="1" x14ac:dyDescent="0.35"/>
    <row r="587" s="60" customFormat="1" x14ac:dyDescent="0.35"/>
    <row r="588" s="60" customFormat="1" x14ac:dyDescent="0.35"/>
    <row r="589" s="60" customFormat="1" x14ac:dyDescent="0.35"/>
    <row r="590" s="60" customFormat="1" x14ac:dyDescent="0.35"/>
    <row r="591" s="60" customFormat="1" x14ac:dyDescent="0.35"/>
    <row r="592" s="60" customFormat="1" x14ac:dyDescent="0.35"/>
    <row r="593" s="60" customFormat="1" x14ac:dyDescent="0.35"/>
    <row r="594" s="60" customFormat="1" x14ac:dyDescent="0.35"/>
    <row r="595" s="60" customFormat="1" x14ac:dyDescent="0.35"/>
    <row r="596" s="60" customFormat="1" x14ac:dyDescent="0.35"/>
    <row r="597" s="60" customFormat="1" x14ac:dyDescent="0.35"/>
    <row r="598" s="60" customFormat="1" x14ac:dyDescent="0.35"/>
    <row r="599" s="60" customFormat="1" x14ac:dyDescent="0.35"/>
    <row r="600" s="60" customFormat="1" x14ac:dyDescent="0.35"/>
    <row r="601" s="60" customFormat="1" x14ac:dyDescent="0.35"/>
    <row r="602" s="60" customFormat="1" x14ac:dyDescent="0.35"/>
    <row r="603" s="60" customFormat="1" x14ac:dyDescent="0.35"/>
    <row r="604" s="60" customFormat="1" x14ac:dyDescent="0.35"/>
    <row r="605" s="60" customFormat="1" x14ac:dyDescent="0.35"/>
    <row r="606" s="60" customFormat="1" x14ac:dyDescent="0.35"/>
    <row r="607" s="60" customFormat="1" x14ac:dyDescent="0.35"/>
    <row r="608" s="60" customFormat="1" x14ac:dyDescent="0.35"/>
    <row r="609" s="60" customFormat="1" x14ac:dyDescent="0.35"/>
    <row r="610" s="60" customFormat="1" x14ac:dyDescent="0.35"/>
    <row r="611" s="60" customFormat="1" x14ac:dyDescent="0.35"/>
    <row r="612" s="60" customFormat="1" x14ac:dyDescent="0.35"/>
    <row r="613" s="60" customFormat="1" x14ac:dyDescent="0.35"/>
    <row r="614" s="60" customFormat="1" x14ac:dyDescent="0.35"/>
    <row r="615" s="60" customFormat="1" x14ac:dyDescent="0.35"/>
    <row r="616" s="60" customFormat="1" x14ac:dyDescent="0.35"/>
    <row r="617" s="60" customFormat="1" x14ac:dyDescent="0.35"/>
    <row r="618" s="60" customFormat="1" x14ac:dyDescent="0.35"/>
    <row r="619" s="60" customFormat="1" x14ac:dyDescent="0.35"/>
    <row r="620" s="60" customFormat="1" x14ac:dyDescent="0.35"/>
    <row r="621" s="60" customFormat="1" x14ac:dyDescent="0.35"/>
    <row r="622" s="60" customFormat="1" x14ac:dyDescent="0.35"/>
    <row r="623" s="60" customFormat="1" x14ac:dyDescent="0.35"/>
    <row r="624" s="60" customFormat="1" x14ac:dyDescent="0.35"/>
    <row r="625" s="60" customFormat="1" x14ac:dyDescent="0.35"/>
    <row r="626" s="60" customFormat="1" x14ac:dyDescent="0.35"/>
    <row r="627" s="60" customFormat="1" x14ac:dyDescent="0.35"/>
    <row r="628" s="60" customFormat="1" x14ac:dyDescent="0.35"/>
    <row r="629" s="60" customFormat="1" x14ac:dyDescent="0.35"/>
    <row r="630" s="60" customFormat="1" x14ac:dyDescent="0.35"/>
    <row r="631" s="60" customFormat="1" x14ac:dyDescent="0.35"/>
    <row r="632" s="60" customFormat="1" x14ac:dyDescent="0.35"/>
    <row r="633" s="60" customFormat="1" x14ac:dyDescent="0.35"/>
    <row r="634" s="60" customFormat="1" x14ac:dyDescent="0.35"/>
    <row r="635" s="60" customFormat="1" x14ac:dyDescent="0.35"/>
    <row r="636" s="60" customFormat="1" x14ac:dyDescent="0.35"/>
    <row r="637" s="60" customFormat="1" x14ac:dyDescent="0.35"/>
    <row r="638" s="60" customFormat="1" x14ac:dyDescent="0.35"/>
    <row r="639" s="60" customFormat="1" x14ac:dyDescent="0.35"/>
    <row r="640" s="60" customFormat="1" x14ac:dyDescent="0.35"/>
    <row r="641" s="60" customFormat="1" x14ac:dyDescent="0.35"/>
    <row r="642" s="60" customFormat="1" x14ac:dyDescent="0.35"/>
    <row r="643" s="60" customFormat="1" x14ac:dyDescent="0.35"/>
    <row r="644" s="60" customFormat="1" x14ac:dyDescent="0.35"/>
    <row r="645" s="60" customFormat="1" x14ac:dyDescent="0.35"/>
    <row r="646" s="60" customFormat="1" x14ac:dyDescent="0.35"/>
    <row r="647" s="60" customFormat="1" x14ac:dyDescent="0.35"/>
    <row r="648" s="60" customFormat="1" x14ac:dyDescent="0.35"/>
    <row r="649" s="60" customFormat="1" x14ac:dyDescent="0.35"/>
    <row r="650" s="60" customFormat="1" x14ac:dyDescent="0.35"/>
    <row r="651" s="60" customFormat="1" x14ac:dyDescent="0.35"/>
    <row r="652" s="60" customFormat="1" x14ac:dyDescent="0.35"/>
    <row r="653" s="60" customFormat="1" x14ac:dyDescent="0.35"/>
    <row r="654" s="60" customFormat="1" x14ac:dyDescent="0.35"/>
    <row r="655" s="60" customFormat="1" x14ac:dyDescent="0.35"/>
    <row r="656" s="60" customFormat="1" x14ac:dyDescent="0.35"/>
    <row r="657" s="60" customFormat="1" x14ac:dyDescent="0.35"/>
    <row r="658" s="60" customFormat="1" x14ac:dyDescent="0.35"/>
    <row r="659" s="60" customFormat="1" x14ac:dyDescent="0.35"/>
    <row r="660" s="60" customFormat="1" x14ac:dyDescent="0.35"/>
    <row r="661" s="60" customFormat="1" x14ac:dyDescent="0.35"/>
    <row r="662" s="60" customFormat="1" x14ac:dyDescent="0.35"/>
    <row r="663" s="60" customFormat="1" x14ac:dyDescent="0.35"/>
    <row r="664" s="60" customFormat="1" x14ac:dyDescent="0.35"/>
    <row r="665" s="60" customFormat="1" x14ac:dyDescent="0.35"/>
    <row r="666" s="60" customFormat="1" x14ac:dyDescent="0.35"/>
    <row r="667" s="60" customFormat="1" x14ac:dyDescent="0.35"/>
    <row r="668" s="60" customFormat="1" x14ac:dyDescent="0.35"/>
    <row r="669" s="60" customFormat="1" x14ac:dyDescent="0.35"/>
    <row r="670" s="60" customFormat="1" x14ac:dyDescent="0.35"/>
    <row r="671" s="60" customFormat="1" x14ac:dyDescent="0.35"/>
    <row r="672" s="60" customFormat="1" x14ac:dyDescent="0.35"/>
    <row r="673" s="60" customFormat="1" x14ac:dyDescent="0.35"/>
    <row r="674" s="60" customFormat="1" x14ac:dyDescent="0.35"/>
    <row r="675" s="60" customFormat="1" x14ac:dyDescent="0.35"/>
    <row r="676" s="60" customFormat="1" x14ac:dyDescent="0.35"/>
    <row r="677" s="60" customFormat="1" x14ac:dyDescent="0.35"/>
    <row r="678" s="60" customFormat="1" x14ac:dyDescent="0.35"/>
    <row r="679" s="60" customFormat="1" x14ac:dyDescent="0.35"/>
    <row r="680" s="60" customFormat="1" x14ac:dyDescent="0.35"/>
    <row r="681" s="60" customFormat="1" x14ac:dyDescent="0.35"/>
    <row r="682" s="60" customFormat="1" x14ac:dyDescent="0.35"/>
    <row r="683" s="60" customFormat="1" x14ac:dyDescent="0.35"/>
    <row r="684" s="60" customFormat="1" x14ac:dyDescent="0.35"/>
    <row r="685" s="60" customFormat="1" x14ac:dyDescent="0.35"/>
    <row r="686" s="60" customFormat="1" x14ac:dyDescent="0.35"/>
    <row r="687" s="60" customFormat="1" x14ac:dyDescent="0.35"/>
    <row r="688" s="60" customFormat="1" x14ac:dyDescent="0.35"/>
    <row r="689" s="60" customFormat="1" x14ac:dyDescent="0.35"/>
    <row r="690" s="60" customFormat="1" x14ac:dyDescent="0.35"/>
    <row r="691" s="60" customFormat="1" x14ac:dyDescent="0.35"/>
    <row r="692" s="60" customFormat="1" x14ac:dyDescent="0.35"/>
    <row r="693" s="60" customFormat="1" x14ac:dyDescent="0.35"/>
    <row r="694" s="60" customFormat="1" x14ac:dyDescent="0.35"/>
    <row r="695" s="60" customFormat="1" x14ac:dyDescent="0.35"/>
    <row r="696" s="60" customFormat="1" x14ac:dyDescent="0.35"/>
    <row r="697" s="60" customFormat="1" x14ac:dyDescent="0.35"/>
    <row r="698" s="60" customFormat="1" x14ac:dyDescent="0.35"/>
    <row r="699" s="60" customFormat="1" x14ac:dyDescent="0.35"/>
    <row r="700" s="60" customFormat="1" x14ac:dyDescent="0.35"/>
    <row r="701" s="60" customFormat="1" x14ac:dyDescent="0.35"/>
    <row r="702" s="60" customFormat="1" x14ac:dyDescent="0.35"/>
    <row r="703" s="60" customFormat="1" x14ac:dyDescent="0.35"/>
    <row r="704" s="60" customFormat="1" x14ac:dyDescent="0.35"/>
    <row r="705" s="60" customFormat="1" x14ac:dyDescent="0.35"/>
    <row r="706" s="60" customFormat="1" x14ac:dyDescent="0.35"/>
    <row r="707" s="60" customFormat="1" x14ac:dyDescent="0.35"/>
    <row r="708" s="60" customFormat="1" x14ac:dyDescent="0.35"/>
    <row r="709" s="60" customFormat="1" x14ac:dyDescent="0.35"/>
    <row r="710" s="60" customFormat="1" x14ac:dyDescent="0.35"/>
    <row r="711" s="60" customFormat="1" x14ac:dyDescent="0.35"/>
    <row r="712" s="60" customFormat="1" x14ac:dyDescent="0.35"/>
    <row r="713" s="60" customFormat="1" x14ac:dyDescent="0.35"/>
    <row r="714" s="60" customFormat="1" x14ac:dyDescent="0.35"/>
    <row r="715" s="60" customFormat="1" x14ac:dyDescent="0.35"/>
    <row r="716" s="60" customFormat="1" x14ac:dyDescent="0.35"/>
    <row r="717" s="60" customFormat="1" x14ac:dyDescent="0.35"/>
    <row r="718" s="60" customFormat="1" x14ac:dyDescent="0.35"/>
    <row r="719" s="60" customFormat="1" x14ac:dyDescent="0.35"/>
    <row r="720" s="60" customFormat="1" x14ac:dyDescent="0.35"/>
    <row r="721" s="60" customFormat="1" x14ac:dyDescent="0.35"/>
    <row r="722" s="60" customFormat="1" x14ac:dyDescent="0.35"/>
    <row r="723" s="60" customFormat="1" x14ac:dyDescent="0.35"/>
    <row r="724" s="60" customFormat="1" x14ac:dyDescent="0.35"/>
    <row r="725" s="60" customFormat="1" x14ac:dyDescent="0.35"/>
    <row r="726" s="60" customFormat="1" x14ac:dyDescent="0.35"/>
    <row r="727" s="60" customFormat="1" x14ac:dyDescent="0.35"/>
    <row r="728" s="60" customFormat="1" x14ac:dyDescent="0.35"/>
    <row r="729" s="60" customFormat="1" x14ac:dyDescent="0.35"/>
    <row r="730" s="60" customFormat="1" x14ac:dyDescent="0.35"/>
    <row r="731" s="60" customFormat="1" x14ac:dyDescent="0.35"/>
    <row r="732" s="60" customFormat="1" x14ac:dyDescent="0.35"/>
    <row r="733" s="60" customFormat="1" x14ac:dyDescent="0.35"/>
    <row r="734" s="60" customFormat="1" x14ac:dyDescent="0.35"/>
    <row r="735" s="60" customFormat="1" x14ac:dyDescent="0.35"/>
    <row r="736" s="60" customFormat="1" x14ac:dyDescent="0.35"/>
    <row r="737" s="60" customFormat="1" x14ac:dyDescent="0.35"/>
    <row r="738" s="60" customFormat="1" x14ac:dyDescent="0.35"/>
    <row r="739" s="60" customFormat="1" x14ac:dyDescent="0.35"/>
    <row r="740" s="60" customFormat="1" x14ac:dyDescent="0.35"/>
    <row r="741" s="60" customFormat="1" x14ac:dyDescent="0.35"/>
    <row r="742" s="60" customFormat="1" x14ac:dyDescent="0.35"/>
    <row r="743" s="60" customFormat="1" x14ac:dyDescent="0.35"/>
    <row r="744" s="60" customFormat="1" x14ac:dyDescent="0.35"/>
    <row r="745" s="60" customFormat="1" x14ac:dyDescent="0.35"/>
    <row r="746" s="60" customFormat="1" x14ac:dyDescent="0.35"/>
    <row r="747" s="60" customFormat="1" x14ac:dyDescent="0.35"/>
    <row r="748" s="60" customFormat="1" x14ac:dyDescent="0.35"/>
    <row r="749" s="60" customFormat="1" x14ac:dyDescent="0.35"/>
    <row r="750" s="60" customFormat="1" x14ac:dyDescent="0.35"/>
    <row r="751" s="60" customFormat="1" x14ac:dyDescent="0.35"/>
    <row r="752" s="60" customFormat="1" x14ac:dyDescent="0.35"/>
    <row r="753" s="60" customFormat="1" x14ac:dyDescent="0.35"/>
    <row r="754" s="60" customFormat="1" x14ac:dyDescent="0.35"/>
    <row r="755" s="60" customFormat="1" x14ac:dyDescent="0.35"/>
    <row r="756" s="60" customFormat="1" x14ac:dyDescent="0.35"/>
    <row r="757" s="60" customFormat="1" x14ac:dyDescent="0.35"/>
    <row r="758" s="60" customFormat="1" x14ac:dyDescent="0.35"/>
    <row r="759" s="60" customFormat="1" x14ac:dyDescent="0.35"/>
    <row r="760" s="60" customFormat="1" x14ac:dyDescent="0.35"/>
    <row r="761" s="60" customFormat="1" x14ac:dyDescent="0.35"/>
    <row r="762" s="60" customFormat="1" x14ac:dyDescent="0.35"/>
    <row r="763" s="60" customFormat="1" x14ac:dyDescent="0.35"/>
    <row r="764" s="60" customFormat="1" x14ac:dyDescent="0.35"/>
    <row r="765" s="60" customFormat="1" x14ac:dyDescent="0.35"/>
    <row r="766" s="60" customFormat="1" x14ac:dyDescent="0.35"/>
    <row r="767" s="60" customFormat="1" x14ac:dyDescent="0.35"/>
    <row r="768" s="60" customFormat="1" x14ac:dyDescent="0.35"/>
    <row r="769" s="60" customFormat="1" x14ac:dyDescent="0.35"/>
    <row r="770" s="60" customFormat="1" x14ac:dyDescent="0.35"/>
    <row r="771" s="60" customFormat="1" x14ac:dyDescent="0.35"/>
    <row r="772" s="60" customFormat="1" x14ac:dyDescent="0.35"/>
    <row r="773" s="60" customFormat="1" x14ac:dyDescent="0.35"/>
    <row r="774" s="60" customFormat="1" x14ac:dyDescent="0.35"/>
    <row r="775" s="60" customFormat="1" x14ac:dyDescent="0.35"/>
    <row r="776" s="60" customFormat="1" x14ac:dyDescent="0.35"/>
    <row r="777" s="60" customFormat="1" x14ac:dyDescent="0.35"/>
    <row r="778" s="60" customFormat="1" x14ac:dyDescent="0.35"/>
    <row r="779" s="60" customFormat="1" x14ac:dyDescent="0.35"/>
    <row r="780" s="60" customFormat="1" x14ac:dyDescent="0.35"/>
    <row r="781" s="60" customFormat="1" x14ac:dyDescent="0.35"/>
    <row r="782" s="60" customFormat="1" x14ac:dyDescent="0.35"/>
    <row r="783" s="60" customFormat="1" x14ac:dyDescent="0.35"/>
    <row r="784" s="60" customFormat="1" x14ac:dyDescent="0.35"/>
    <row r="785" s="60" customFormat="1" x14ac:dyDescent="0.35"/>
    <row r="786" s="60" customFormat="1" x14ac:dyDescent="0.35"/>
    <row r="787" s="60" customFormat="1" x14ac:dyDescent="0.35"/>
    <row r="788" s="60" customFormat="1" x14ac:dyDescent="0.35"/>
    <row r="789" s="60" customFormat="1" x14ac:dyDescent="0.35"/>
    <row r="790" s="60" customFormat="1" x14ac:dyDescent="0.35"/>
    <row r="791" s="60" customFormat="1" x14ac:dyDescent="0.35"/>
    <row r="792" s="60" customFormat="1" x14ac:dyDescent="0.35"/>
    <row r="793" s="60" customFormat="1" x14ac:dyDescent="0.35"/>
    <row r="794" s="60" customFormat="1" x14ac:dyDescent="0.35"/>
    <row r="795" s="60" customFormat="1" x14ac:dyDescent="0.35"/>
    <row r="796" s="60" customFormat="1" x14ac:dyDescent="0.35"/>
    <row r="797" s="60" customFormat="1" x14ac:dyDescent="0.35"/>
    <row r="798" s="60" customFormat="1" x14ac:dyDescent="0.35"/>
    <row r="799" s="60" customFormat="1" x14ac:dyDescent="0.35"/>
    <row r="800" s="60" customFormat="1" x14ac:dyDescent="0.35"/>
    <row r="801" s="60" customFormat="1" x14ac:dyDescent="0.35"/>
    <row r="802" s="60" customFormat="1" x14ac:dyDescent="0.35"/>
    <row r="803" s="60" customFormat="1" x14ac:dyDescent="0.35"/>
    <row r="804" s="60" customFormat="1" x14ac:dyDescent="0.35"/>
    <row r="805" s="60" customFormat="1" x14ac:dyDescent="0.35"/>
    <row r="806" s="60" customFormat="1" x14ac:dyDescent="0.35"/>
    <row r="807" s="60" customFormat="1" x14ac:dyDescent="0.35"/>
    <row r="808" s="60" customFormat="1" x14ac:dyDescent="0.35"/>
    <row r="809" s="60" customFormat="1" x14ac:dyDescent="0.35"/>
    <row r="810" s="60" customFormat="1" x14ac:dyDescent="0.35"/>
    <row r="811" s="60" customFormat="1" x14ac:dyDescent="0.35"/>
    <row r="812" s="60" customFormat="1" x14ac:dyDescent="0.35"/>
    <row r="813" s="60" customFormat="1" x14ac:dyDescent="0.35"/>
    <row r="814" s="60" customFormat="1" x14ac:dyDescent="0.35"/>
    <row r="815" s="60" customFormat="1" x14ac:dyDescent="0.35"/>
    <row r="816" s="60" customFormat="1" x14ac:dyDescent="0.35"/>
    <row r="817" s="60" customFormat="1" x14ac:dyDescent="0.35"/>
    <row r="818" s="60" customFormat="1" x14ac:dyDescent="0.35"/>
    <row r="819" s="60" customFormat="1" x14ac:dyDescent="0.35"/>
    <row r="820" s="60" customFormat="1" x14ac:dyDescent="0.35"/>
    <row r="821" s="60" customFormat="1" x14ac:dyDescent="0.35"/>
    <row r="822" s="60" customFormat="1" x14ac:dyDescent="0.35"/>
    <row r="823" s="60" customFormat="1" x14ac:dyDescent="0.35"/>
    <row r="824" s="60" customFormat="1" x14ac:dyDescent="0.35"/>
    <row r="825" s="60" customFormat="1" x14ac:dyDescent="0.35"/>
    <row r="826" s="60" customFormat="1" x14ac:dyDescent="0.35"/>
    <row r="827" s="60" customFormat="1" x14ac:dyDescent="0.35"/>
    <row r="828" s="60" customFormat="1" x14ac:dyDescent="0.35"/>
    <row r="829" s="60" customFormat="1" x14ac:dyDescent="0.35"/>
    <row r="830" s="60" customFormat="1" x14ac:dyDescent="0.35"/>
    <row r="831" s="60" customFormat="1" x14ac:dyDescent="0.35"/>
    <row r="832" s="60" customFormat="1" x14ac:dyDescent="0.35"/>
    <row r="833" s="60" customFormat="1" x14ac:dyDescent="0.35"/>
    <row r="834" s="60" customFormat="1" x14ac:dyDescent="0.35"/>
    <row r="835" s="60" customFormat="1" x14ac:dyDescent="0.35"/>
    <row r="836" s="60" customFormat="1" x14ac:dyDescent="0.35"/>
    <row r="837" s="60" customFormat="1" x14ac:dyDescent="0.35"/>
    <row r="838" s="60" customFormat="1" x14ac:dyDescent="0.35"/>
    <row r="839" s="60" customFormat="1" x14ac:dyDescent="0.35"/>
    <row r="840" s="60" customFormat="1" x14ac:dyDescent="0.35"/>
    <row r="841" s="60" customFormat="1" x14ac:dyDescent="0.35"/>
    <row r="842" s="60" customFormat="1" x14ac:dyDescent="0.35"/>
    <row r="843" s="60" customFormat="1" x14ac:dyDescent="0.35"/>
    <row r="844" s="60" customFormat="1" x14ac:dyDescent="0.35"/>
    <row r="845" s="60" customFormat="1" x14ac:dyDescent="0.35"/>
    <row r="846" s="60" customFormat="1" x14ac:dyDescent="0.35"/>
    <row r="847" s="60" customFormat="1" x14ac:dyDescent="0.35"/>
    <row r="848" s="60" customFormat="1" x14ac:dyDescent="0.35"/>
    <row r="849" s="60" customFormat="1" x14ac:dyDescent="0.35"/>
    <row r="850" s="60" customFormat="1" x14ac:dyDescent="0.35"/>
    <row r="851" s="60" customFormat="1" x14ac:dyDescent="0.35"/>
    <row r="852" s="60" customFormat="1" x14ac:dyDescent="0.35"/>
    <row r="853" s="60" customFormat="1" x14ac:dyDescent="0.35"/>
    <row r="854" s="60" customFormat="1" x14ac:dyDescent="0.35"/>
    <row r="855" s="60" customFormat="1" x14ac:dyDescent="0.35"/>
    <row r="856" s="60" customFormat="1" x14ac:dyDescent="0.35"/>
    <row r="857" s="60" customFormat="1" x14ac:dyDescent="0.35"/>
    <row r="858" s="60" customFormat="1" x14ac:dyDescent="0.35"/>
    <row r="859" s="60" customFormat="1" x14ac:dyDescent="0.35"/>
    <row r="860" s="60" customFormat="1" x14ac:dyDescent="0.35"/>
    <row r="861" s="60" customFormat="1" x14ac:dyDescent="0.35"/>
    <row r="862" s="60" customFormat="1" x14ac:dyDescent="0.35"/>
    <row r="863" s="60" customFormat="1" x14ac:dyDescent="0.35"/>
    <row r="864" s="60" customFormat="1" x14ac:dyDescent="0.35"/>
    <row r="865" s="60" customFormat="1" x14ac:dyDescent="0.35"/>
    <row r="866" s="60" customFormat="1" x14ac:dyDescent="0.35"/>
    <row r="867" s="60" customFormat="1" x14ac:dyDescent="0.35"/>
    <row r="868" s="60" customFormat="1" x14ac:dyDescent="0.35"/>
    <row r="869" s="60" customFormat="1" x14ac:dyDescent="0.35"/>
    <row r="870" s="60" customFormat="1" x14ac:dyDescent="0.35"/>
    <row r="871" s="60" customFormat="1" x14ac:dyDescent="0.35"/>
    <row r="872" s="60" customFormat="1" x14ac:dyDescent="0.35"/>
    <row r="873" s="60" customFormat="1" x14ac:dyDescent="0.35"/>
    <row r="874" s="60" customFormat="1" x14ac:dyDescent="0.35"/>
    <row r="875" s="60" customFormat="1" x14ac:dyDescent="0.35"/>
    <row r="876" s="60" customFormat="1" x14ac:dyDescent="0.35"/>
    <row r="877" s="60" customFormat="1" x14ac:dyDescent="0.35"/>
    <row r="878" s="60" customFormat="1" x14ac:dyDescent="0.35"/>
    <row r="879" s="60" customFormat="1" x14ac:dyDescent="0.35"/>
    <row r="880" s="60" customFormat="1" x14ac:dyDescent="0.35"/>
    <row r="881" s="60" customFormat="1" x14ac:dyDescent="0.35"/>
    <row r="882" s="60" customFormat="1" x14ac:dyDescent="0.35"/>
    <row r="883" s="60" customFormat="1" x14ac:dyDescent="0.35"/>
    <row r="884" s="60" customFormat="1" x14ac:dyDescent="0.35"/>
    <row r="885" s="60" customFormat="1" x14ac:dyDescent="0.35"/>
    <row r="886" s="60" customFormat="1" x14ac:dyDescent="0.35"/>
    <row r="887" s="60" customFormat="1" x14ac:dyDescent="0.35"/>
    <row r="888" s="60" customFormat="1" x14ac:dyDescent="0.35"/>
    <row r="889" s="60" customFormat="1" x14ac:dyDescent="0.35"/>
    <row r="890" s="60" customFormat="1" x14ac:dyDescent="0.35"/>
    <row r="891" s="60" customFormat="1" x14ac:dyDescent="0.35"/>
    <row r="892" s="60" customFormat="1" x14ac:dyDescent="0.35"/>
    <row r="893" s="60" customFormat="1" x14ac:dyDescent="0.35"/>
    <row r="894" s="60" customFormat="1" x14ac:dyDescent="0.35"/>
    <row r="895" s="60" customFormat="1" x14ac:dyDescent="0.35"/>
    <row r="896" s="60" customFormat="1" x14ac:dyDescent="0.35"/>
    <row r="897" s="60" customFormat="1" x14ac:dyDescent="0.35"/>
    <row r="898" s="60" customFormat="1" x14ac:dyDescent="0.35"/>
    <row r="899" s="60" customFormat="1" x14ac:dyDescent="0.35"/>
    <row r="900" s="60" customFormat="1" x14ac:dyDescent="0.35"/>
    <row r="901" s="60" customFormat="1" x14ac:dyDescent="0.35"/>
    <row r="902" s="60" customFormat="1" x14ac:dyDescent="0.35"/>
    <row r="903" s="60" customFormat="1" x14ac:dyDescent="0.35"/>
    <row r="904" s="60" customFormat="1" x14ac:dyDescent="0.35"/>
    <row r="905" s="60" customFormat="1" x14ac:dyDescent="0.35"/>
    <row r="906" s="60" customFormat="1" x14ac:dyDescent="0.35"/>
    <row r="907" s="60" customFormat="1" x14ac:dyDescent="0.35"/>
    <row r="908" s="60" customFormat="1" x14ac:dyDescent="0.35"/>
    <row r="909" s="60" customFormat="1" x14ac:dyDescent="0.35"/>
    <row r="910" s="60" customFormat="1" x14ac:dyDescent="0.35"/>
    <row r="911" s="60" customFormat="1" x14ac:dyDescent="0.35"/>
    <row r="912" s="60" customFormat="1" x14ac:dyDescent="0.35"/>
    <row r="913" s="60" customFormat="1" x14ac:dyDescent="0.35"/>
    <row r="914" s="60" customFormat="1" x14ac:dyDescent="0.35"/>
    <row r="915" s="60" customFormat="1" x14ac:dyDescent="0.35"/>
    <row r="916" s="60" customFormat="1" x14ac:dyDescent="0.35"/>
    <row r="917" s="60" customFormat="1" x14ac:dyDescent="0.35"/>
    <row r="918" s="60" customFormat="1" x14ac:dyDescent="0.35"/>
    <row r="919" s="60" customFormat="1" x14ac:dyDescent="0.35"/>
    <row r="920" s="60" customFormat="1" x14ac:dyDescent="0.35"/>
    <row r="921" s="60" customFormat="1" x14ac:dyDescent="0.35"/>
    <row r="922" s="60" customFormat="1" x14ac:dyDescent="0.35"/>
    <row r="923" s="60" customFormat="1" x14ac:dyDescent="0.35"/>
    <row r="924" s="60" customFormat="1" x14ac:dyDescent="0.35"/>
    <row r="925" s="60" customFormat="1" x14ac:dyDescent="0.35"/>
    <row r="926" s="60" customFormat="1" x14ac:dyDescent="0.35"/>
    <row r="927" s="60" customFormat="1" x14ac:dyDescent="0.35"/>
    <row r="928" s="60" customFormat="1" x14ac:dyDescent="0.35"/>
    <row r="929" s="60" customFormat="1" x14ac:dyDescent="0.35"/>
    <row r="930" s="60" customFormat="1" x14ac:dyDescent="0.35"/>
    <row r="931" s="60" customFormat="1" x14ac:dyDescent="0.35"/>
    <row r="932" s="60" customFormat="1" x14ac:dyDescent="0.35"/>
    <row r="933" s="60" customFormat="1" x14ac:dyDescent="0.35"/>
    <row r="934" s="60" customFormat="1" x14ac:dyDescent="0.35"/>
    <row r="935" s="60" customFormat="1" x14ac:dyDescent="0.35"/>
    <row r="936" s="60" customFormat="1" x14ac:dyDescent="0.35"/>
    <row r="937" s="60" customFormat="1" x14ac:dyDescent="0.35"/>
    <row r="938" s="60" customFormat="1" x14ac:dyDescent="0.35"/>
    <row r="939" s="60" customFormat="1" x14ac:dyDescent="0.35"/>
    <row r="940" s="60" customFormat="1" x14ac:dyDescent="0.35"/>
    <row r="941" s="60" customFormat="1" x14ac:dyDescent="0.35"/>
    <row r="942" s="60" customFormat="1" x14ac:dyDescent="0.35"/>
    <row r="943" s="60" customFormat="1" x14ac:dyDescent="0.35"/>
    <row r="944" s="60" customFormat="1" x14ac:dyDescent="0.35"/>
    <row r="945" s="60" customFormat="1" x14ac:dyDescent="0.35"/>
    <row r="946" s="60" customFormat="1" x14ac:dyDescent="0.35"/>
    <row r="947" s="60" customFormat="1" x14ac:dyDescent="0.35"/>
    <row r="948" s="60" customFormat="1" x14ac:dyDescent="0.35"/>
    <row r="949" s="60" customFormat="1" x14ac:dyDescent="0.35"/>
    <row r="950" s="60" customFormat="1" x14ac:dyDescent="0.35"/>
    <row r="951" s="60" customFormat="1" x14ac:dyDescent="0.35"/>
    <row r="952" s="60" customFormat="1" x14ac:dyDescent="0.35"/>
    <row r="953" s="60" customFormat="1" x14ac:dyDescent="0.35"/>
    <row r="954" s="60" customFormat="1" x14ac:dyDescent="0.35"/>
    <row r="955" s="60" customFormat="1" x14ac:dyDescent="0.35"/>
    <row r="956" s="60" customFormat="1" x14ac:dyDescent="0.35"/>
    <row r="957" s="60" customFormat="1" x14ac:dyDescent="0.35"/>
    <row r="958" s="60" customFormat="1" x14ac:dyDescent="0.35"/>
    <row r="959" s="60" customFormat="1" x14ac:dyDescent="0.35"/>
    <row r="960" s="60" customFormat="1" x14ac:dyDescent="0.35"/>
    <row r="961" s="60" customFormat="1" x14ac:dyDescent="0.35"/>
    <row r="962" s="60" customFormat="1" x14ac:dyDescent="0.35"/>
    <row r="963" s="60" customFormat="1" x14ac:dyDescent="0.35"/>
    <row r="964" s="60" customFormat="1" x14ac:dyDescent="0.35"/>
    <row r="965" s="60" customFormat="1" x14ac:dyDescent="0.35"/>
    <row r="966" s="60" customFormat="1" x14ac:dyDescent="0.35"/>
    <row r="967" s="60" customFormat="1" x14ac:dyDescent="0.35"/>
    <row r="968" s="60" customFormat="1" x14ac:dyDescent="0.35"/>
    <row r="969" s="60" customFormat="1" x14ac:dyDescent="0.35"/>
    <row r="970" s="60" customFormat="1" x14ac:dyDescent="0.35"/>
    <row r="971" s="60" customFormat="1" x14ac:dyDescent="0.35"/>
    <row r="972" s="60" customFormat="1" x14ac:dyDescent="0.35"/>
    <row r="973" s="60" customFormat="1" x14ac:dyDescent="0.35"/>
    <row r="974" s="60" customFormat="1" x14ac:dyDescent="0.35"/>
    <row r="975" s="60" customFormat="1" x14ac:dyDescent="0.35"/>
    <row r="976" s="60" customFormat="1" x14ac:dyDescent="0.35"/>
    <row r="977" s="60" customFormat="1" x14ac:dyDescent="0.35"/>
    <row r="978" s="60" customFormat="1" x14ac:dyDescent="0.35"/>
    <row r="979" s="60" customFormat="1" x14ac:dyDescent="0.35"/>
    <row r="980" s="60" customFormat="1" x14ac:dyDescent="0.35"/>
    <row r="981" s="60" customFormat="1" x14ac:dyDescent="0.35"/>
    <row r="982" s="60" customFormat="1" x14ac:dyDescent="0.35"/>
    <row r="983" s="60" customFormat="1" x14ac:dyDescent="0.35"/>
    <row r="984" s="60" customFormat="1" x14ac:dyDescent="0.35"/>
    <row r="985" s="60" customFormat="1" x14ac:dyDescent="0.35"/>
    <row r="986" s="60" customFormat="1" x14ac:dyDescent="0.35"/>
    <row r="987" s="60" customFormat="1" x14ac:dyDescent="0.35"/>
    <row r="988" s="60" customFormat="1" x14ac:dyDescent="0.35"/>
    <row r="989" s="60" customFormat="1" x14ac:dyDescent="0.35"/>
    <row r="990" s="60" customFormat="1" x14ac:dyDescent="0.35"/>
    <row r="991" s="60" customFormat="1" x14ac:dyDescent="0.35"/>
    <row r="992" s="60" customFormat="1" x14ac:dyDescent="0.35"/>
    <row r="993" s="60" customFormat="1" x14ac:dyDescent="0.35"/>
    <row r="994" s="60" customFormat="1" x14ac:dyDescent="0.35"/>
    <row r="995" s="60" customFormat="1" x14ac:dyDescent="0.35"/>
    <row r="996" s="60" customFormat="1" x14ac:dyDescent="0.35"/>
    <row r="997" s="60" customFormat="1" x14ac:dyDescent="0.35"/>
    <row r="998" s="60" customFormat="1" x14ac:dyDescent="0.35"/>
    <row r="999" s="60" customFormat="1" x14ac:dyDescent="0.35"/>
    <row r="1000" s="60" customFormat="1" x14ac:dyDescent="0.35"/>
  </sheetData>
  <mergeCells count="2">
    <mergeCell ref="B1:H1"/>
    <mergeCell ref="B2:H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1E7D4-5415-4C2C-8B13-56DA24C839F5}">
  <sheetPr codeName="Sheet4"/>
  <dimension ref="B1:G7"/>
  <sheetViews>
    <sheetView workbookViewId="0">
      <selection activeCell="E7" sqref="E7"/>
    </sheetView>
  </sheetViews>
  <sheetFormatPr defaultColWidth="13.7265625" defaultRowHeight="14.5" x14ac:dyDescent="0.35"/>
  <sheetData>
    <row r="1" spans="2:7" ht="50" customHeight="1" x14ac:dyDescent="0.35">
      <c r="B1" s="47" t="s">
        <v>60</v>
      </c>
      <c r="C1" s="2"/>
      <c r="D1" s="2"/>
      <c r="E1" s="2"/>
      <c r="F1" s="2"/>
      <c r="G1" s="2"/>
    </row>
    <row r="2" spans="2:7" ht="20" customHeight="1" x14ac:dyDescent="0.35">
      <c r="B2" s="48" t="s">
        <v>61</v>
      </c>
      <c r="C2" s="2"/>
      <c r="D2" s="2"/>
      <c r="E2" s="2"/>
      <c r="F2" s="2"/>
      <c r="G2" s="2"/>
    </row>
    <row r="3" spans="2:7" ht="24" customHeight="1" x14ac:dyDescent="0.35">
      <c r="B3" s="49" t="s">
        <v>6</v>
      </c>
      <c r="C3" s="49" t="s">
        <v>49</v>
      </c>
      <c r="D3" s="49" t="s">
        <v>9</v>
      </c>
      <c r="E3" s="49" t="s">
        <v>62</v>
      </c>
      <c r="F3" s="49" t="s">
        <v>45</v>
      </c>
      <c r="G3" s="49" t="s">
        <v>63</v>
      </c>
    </row>
    <row r="4" spans="2:7" ht="20" customHeight="1" x14ac:dyDescent="0.35">
      <c r="B4" s="32" t="s">
        <v>16</v>
      </c>
      <c r="C4" s="33">
        <v>101</v>
      </c>
      <c r="D4" s="33">
        <v>4545000</v>
      </c>
      <c r="E4" s="33">
        <v>649285.71428571432</v>
      </c>
      <c r="F4" s="34">
        <v>7</v>
      </c>
      <c r="G4" s="50">
        <v>0.62209143169997261</v>
      </c>
    </row>
    <row r="5" spans="2:7" ht="20" customHeight="1" x14ac:dyDescent="0.35">
      <c r="B5" s="36" t="s">
        <v>20</v>
      </c>
      <c r="C5" s="37">
        <v>226</v>
      </c>
      <c r="D5" s="37">
        <v>1921000</v>
      </c>
      <c r="E5" s="37">
        <v>274428.57142857142</v>
      </c>
      <c r="F5" s="38">
        <v>7</v>
      </c>
      <c r="G5" s="51">
        <v>0.26293457432247469</v>
      </c>
    </row>
    <row r="6" spans="2:7" ht="20" customHeight="1" x14ac:dyDescent="0.35">
      <c r="B6" s="40" t="s">
        <v>23</v>
      </c>
      <c r="C6" s="41">
        <v>700</v>
      </c>
      <c r="D6" s="41">
        <v>840000</v>
      </c>
      <c r="E6" s="41">
        <v>140000</v>
      </c>
      <c r="F6" s="42">
        <v>6</v>
      </c>
      <c r="G6" s="52">
        <v>0.1149739939775527</v>
      </c>
    </row>
    <row r="7" spans="2:7" ht="22" customHeight="1" x14ac:dyDescent="0.35">
      <c r="B7" s="49" t="s">
        <v>47</v>
      </c>
      <c r="C7" s="53">
        <f>SUM(C4:C6)</f>
        <v>1027</v>
      </c>
      <c r="D7" s="53">
        <f>SUM(D4:D6)</f>
        <v>7306000</v>
      </c>
      <c r="E7" s="49" t="s">
        <v>39</v>
      </c>
      <c r="F7" s="54">
        <f>SUM(F4:F6)</f>
        <v>20</v>
      </c>
      <c r="G7" s="55" t="s">
        <v>51</v>
      </c>
    </row>
  </sheetData>
  <mergeCells count="2">
    <mergeCell ref="B1:G1"/>
    <mergeCell ref="B2:G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SALES_DATA</vt:lpstr>
      <vt:lpstr>MIS_DASHBOARD</vt:lpstr>
      <vt:lpstr>REGION_REPORT</vt:lpstr>
      <vt:lpstr>PRODUCT_REPORT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Dhiraj Prajapati</dc:creator>
  <cp:lastModifiedBy>Dhiraj Prajapati</cp:lastModifiedBy>
  <dcterms:created xsi:type="dcterms:W3CDTF">2026-05-04T07:25:21Z</dcterms:created>
  <dcterms:modified xsi:type="dcterms:W3CDTF">2026-05-04T10:39:28Z</dcterms:modified>
</cp:coreProperties>
</file>